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didos" sheetId="1" r:id="rId5"/>
    <sheet state="visible" name="Dinamicas" sheetId="2" r:id="rId6"/>
    <sheet state="visible" name="Listas" sheetId="3" r:id="rId7"/>
    <sheet state="visible" name="Analises" sheetId="4" r:id="rId8"/>
    <sheet state="visible" name="Dashboard" sheetId="5" r:id="rId9"/>
    <sheet state="visible" name="Sobre" sheetId="6" r:id="rId10"/>
  </sheets>
  <definedNames>
    <definedName hidden="1" localSheetId="0" name="Z_745B3FCF_AC3D_44A5_B441_30536A757640_.wvu.FilterData">Pedidos!$A$1:$K$37</definedName>
    <definedName name="SlicerCache_Table_1_Col_4">#N/A</definedName>
    <definedName name="SlicerCache_Table_1_Col_11">#N/A</definedName>
  </definedNames>
  <calcPr/>
  <customWorkbookViews>
    <customWorkbookView activeSheetId="0" maximized="1" windowHeight="0" windowWidth="0" guid="{745B3FCF-AC3D-44A5-B441-30536A757640}" name="Filtro 1"/>
  </customWorkbookViews>
  <pivotCaches>
    <pivotCache cacheId="0" r:id="rId11"/>
  </pivotCaches>
  <extLst>
    <ext uri="{46BE6895-7355-4a93-B00E-2C351335B9C9}">
      <x15:slicerCaches>
        <x14:slicerCache r:id="rId12"/>
        <x14:slicerCache r:id="rId13"/>
      </x15:slicerCaches>
    </ext>
  </extLst>
</workbook>
</file>

<file path=xl/sharedStrings.xml><?xml version="1.0" encoding="utf-8"?>
<sst xmlns="http://schemas.openxmlformats.org/spreadsheetml/2006/main" count="224" uniqueCount="95">
  <si>
    <t>Data de referência</t>
  </si>
  <si>
    <t>Indicador</t>
  </si>
  <si>
    <t>Regioes</t>
  </si>
  <si>
    <t>Valor</t>
  </si>
  <si>
    <t>Situacao</t>
  </si>
  <si>
    <t>Quantidade</t>
  </si>
  <si>
    <t>Todas</t>
  </si>
  <si>
    <t>Regiao</t>
  </si>
  <si>
    <t>Pendentes_em_atraso</t>
  </si>
  <si>
    <t>Sudeste</t>
  </si>
  <si>
    <t>Total de pedidos</t>
  </si>
  <si>
    <t>Sul</t>
  </si>
  <si>
    <t>Nordeste</t>
  </si>
  <si>
    <t>Centro-Oeste</t>
  </si>
  <si>
    <t>Norte</t>
  </si>
  <si>
    <t>Entregue no prazo</t>
  </si>
  <si>
    <t>Pedido</t>
  </si>
  <si>
    <t>Data_Pedido</t>
  </si>
  <si>
    <t>Cliente</t>
  </si>
  <si>
    <t>Valor_Pedido</t>
  </si>
  <si>
    <t>Data_Prevista</t>
  </si>
  <si>
    <t>Data_Entrega</t>
  </si>
  <si>
    <t>Status</t>
  </si>
  <si>
    <t>Dias_Atraso</t>
  </si>
  <si>
    <t>Situacao_Entrega</t>
  </si>
  <si>
    <t>Mes_Pedido</t>
  </si>
  <si>
    <t>Cliente A</t>
  </si>
  <si>
    <t>Pedidos entregues</t>
  </si>
  <si>
    <t>Entregue</t>
  </si>
  <si>
    <t>Entregue com atraso</t>
  </si>
  <si>
    <t>Pendentes em atraso</t>
  </si>
  <si>
    <t>Pendente em atraso</t>
  </si>
  <si>
    <t>Cliente B</t>
  </si>
  <si>
    <t>Pedidos cancelados</t>
  </si>
  <si>
    <t>Pendente no prazo</t>
  </si>
  <si>
    <t>Cliente C</t>
  </si>
  <si>
    <t>Valor dos pedidos não cancelados</t>
  </si>
  <si>
    <t>Cancelado</t>
  </si>
  <si>
    <t>Cliente D</t>
  </si>
  <si>
    <t>Entregas no prazo (%)</t>
  </si>
  <si>
    <t>Cliente E</t>
  </si>
  <si>
    <t>Cliente F</t>
  </si>
  <si>
    <t>Cliente G</t>
  </si>
  <si>
    <t>Cliente H</t>
  </si>
  <si>
    <t>Cliente I</t>
  </si>
  <si>
    <t>Cliente J</t>
  </si>
  <si>
    <t>Cliente K</t>
  </si>
  <si>
    <t>Cliente L</t>
  </si>
  <si>
    <t>COUNTA de Pedido</t>
  </si>
  <si>
    <t>SUM de Valor_Pedido</t>
  </si>
  <si>
    <t>Total geral</t>
  </si>
  <si>
    <t>DASHBOARD DE PEDIDOS E ENTREGAS</t>
  </si>
  <si>
    <t>Região</t>
  </si>
  <si>
    <t>Valor não cancelado</t>
  </si>
  <si>
    <t>Entregas no prazo</t>
  </si>
  <si>
    <t>Item</t>
  </si>
  <si>
    <t>Descrição</t>
  </si>
  <si>
    <t>Projeto</t>
  </si>
  <si>
    <t>Dashboard de Pedidos e Entregas — V2</t>
  </si>
  <si>
    <t>Autor</t>
  </si>
  <si>
    <t>Caio Siqueira</t>
  </si>
  <si>
    <t>Objetivo</t>
  </si>
  <si>
    <t>Acompanhar pedidos, entregas e atrasos por região.</t>
  </si>
  <si>
    <t>Fonte</t>
  </si>
  <si>
    <t>36 pedidos fictícios distribuídos de janeiro a dezembro de 2025.</t>
  </si>
  <si>
    <t>Quantidade de pedidos, incluindo cancelados.</t>
  </si>
  <si>
    <t>Pedidos com status Entregue.</t>
  </si>
  <si>
    <t>Pedidos não entregues cuja data prevista já passou.</t>
  </si>
  <si>
    <t>Em transporte</t>
  </si>
  <si>
    <t>Pedidos com status Cancelado.</t>
  </si>
  <si>
    <t>Soma do valor dos pedidos não cancelados; inclui pedidos pendentes e não representa receita recebida.</t>
  </si>
  <si>
    <t>Percentual de entregas realizadas até a data prevista, considerando apenas os pedidos entregues.</t>
  </si>
  <si>
    <t>Filtro de região</t>
  </si>
  <si>
    <t>O seletor do Dashboard atualiza os cartões e o gráfico de situações de entrega. As segmentações da aba Dinamicas filtram as tabelas dinâmicas e os dois gráficos de valores.</t>
  </si>
  <si>
    <t>Visão geral por região</t>
  </si>
  <si>
    <t>O gráfico de pendentes em atraso por região permanece mostrando todas as regiões.</t>
  </si>
  <si>
    <t>Limitação</t>
  </si>
  <si>
    <t>Base pequena e fictícia; não permite determinar as causas dos atrasos.</t>
  </si>
  <si>
    <t>Análise</t>
  </si>
  <si>
    <t>Resultado</t>
  </si>
  <si>
    <t>Entregas</t>
  </si>
  <si>
    <t>29 dos 36 pedidos foram entregues: 18 no prazo e 11 com atraso.</t>
  </si>
  <si>
    <t>Pontualidade</t>
  </si>
  <si>
    <t>ANÁLISE POR TABELAS DINÂMICAS</t>
  </si>
  <si>
    <t>62,07% dos pedidos entregues chegaram no prazo.</t>
  </si>
  <si>
    <t>Pendências</t>
  </si>
  <si>
    <t>Na posição de 31/12/2025, existem 2 pedidos pendentes em atraso: um no Centro-Oeste e outro no Norte. Há também 1 pedido pendente no prazo no Sudeste.</t>
  </si>
  <si>
    <t>Cancelamentos</t>
  </si>
  <si>
    <t>4 dos 36 pedidos foram cancelados.</t>
  </si>
  <si>
    <t>Para filtrar os gráficos abaixo, use as segmentações de região e mês na aba Dinamicas.</t>
  </si>
  <si>
    <t>Valor dos pedidos</t>
  </si>
  <si>
    <t>Os pedidos não cancelados somam R$ 30.420,00, incluindo os ainda pendentes. Dezembro apresenta o maior valor mensal, com R$ 4.210,00.</t>
  </si>
  <si>
    <t>Próximo passo sugerido</t>
  </si>
  <si>
    <t>Investigar os motivos dos atrasos. Os dados fictícios disponíveis não permitem determinar suas causas.</t>
  </si>
  <si>
    <t>Em preparação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</si>
</sst>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R$ -416]#,##0.00"/>
    <numFmt numFmtId="166" formatCode="dd/mm/yyyy"/>
    <numFmt numFmtId="167" formatCode="mmmm"/>
    <numFmt numFmtId="168" formatCode="d/m/yyyy"/>
  </numFmts>
  <fonts count="7">
    <font>
      <sz val="10.0"/>
      <color rgb="FF000000"/>
      <name val="Arial"/>
      <scheme val="minor"/>
    </font>
    <font>
      <color theme="1"/>
      <name val="Arial"/>
      <scheme val="minor"/>
    </font>
    <font>
      <b/>
      <color theme="1"/>
      <name val="Arial"/>
      <scheme val="minor"/>
    </font>
    <font>
      <b/>
      <sz val="18.0"/>
      <color theme="1"/>
      <name val="Arial"/>
      <scheme val="minor"/>
    </font>
    <font>
      <sz val="11.0"/>
      <color theme="1"/>
      <name val="Arial"/>
      <scheme val="minor"/>
    </font>
    <font/>
    <font>
      <b/>
      <sz val="10.0"/>
      <color theme="1"/>
      <name val="Arial"/>
      <scheme val="minor"/>
    </font>
  </fonts>
  <fills count="3">
    <fill>
      <patternFill patternType="none"/>
    </fill>
    <fill>
      <patternFill patternType="lightGray"/>
    </fill>
    <fill>
      <patternFill patternType="solid">
        <fgColor rgb="FFA4C2F4"/>
        <bgColor rgb="FFA4C2F4"/>
      </patternFill>
    </fill>
  </fills>
  <borders count="7">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164" xfId="0" applyAlignment="1" applyFont="1" applyNumberFormat="1">
      <alignment horizontal="left" readingOrder="0"/>
    </xf>
    <xf borderId="0" fillId="0" fontId="1" numFmtId="1" xfId="0" applyAlignment="1" applyFont="1" applyNumberFormat="1">
      <alignment horizontal="center"/>
    </xf>
    <xf borderId="0" fillId="0" fontId="1" numFmtId="3" xfId="0" applyAlignment="1" applyFont="1" applyNumberFormat="1">
      <alignment horizontal="center" readingOrder="0"/>
    </xf>
    <xf borderId="0" fillId="0" fontId="1" numFmtId="0" xfId="0" applyAlignment="1" applyFont="1">
      <alignment horizontal="center"/>
    </xf>
    <xf borderId="0" fillId="0" fontId="1" numFmtId="164" xfId="0" applyAlignment="1" applyFont="1" applyNumberFormat="1">
      <alignment horizontal="center" readingOrder="0"/>
    </xf>
    <xf borderId="0" fillId="0" fontId="1" numFmtId="165" xfId="0" applyAlignment="1" applyFont="1" applyNumberFormat="1">
      <alignment horizontal="center" readingOrder="0"/>
    </xf>
    <xf borderId="0" fillId="0" fontId="1" numFmtId="3" xfId="0" applyAlignment="1" applyFont="1" applyNumberFormat="1">
      <alignment horizontal="center"/>
    </xf>
    <xf borderId="0" fillId="0" fontId="1" numFmtId="14" xfId="0" applyAlignment="1" applyFont="1" applyNumberFormat="1">
      <alignment horizontal="center"/>
    </xf>
    <xf borderId="0" fillId="0" fontId="1" numFmtId="165" xfId="0" applyAlignment="1" applyFont="1" applyNumberFormat="1">
      <alignment horizontal="center"/>
    </xf>
    <xf borderId="0" fillId="0" fontId="1" numFmtId="10" xfId="0" applyAlignment="1" applyFont="1" applyNumberFormat="1">
      <alignment horizontal="center"/>
    </xf>
    <xf borderId="0" fillId="0" fontId="2" numFmtId="0" xfId="0" applyAlignment="1" applyFont="1">
      <alignment horizontal="center" readingOrder="0"/>
    </xf>
    <xf borderId="0" fillId="0" fontId="1" numFmtId="164" xfId="0" applyAlignment="1" applyFont="1" applyNumberFormat="1">
      <alignment horizontal="center"/>
    </xf>
    <xf borderId="0" fillId="0" fontId="1" numFmtId="166" xfId="0" applyAlignment="1" applyFont="1" applyNumberFormat="1">
      <alignment horizontal="center" readingOrder="0"/>
    </xf>
    <xf borderId="0" fillId="0" fontId="1" numFmtId="0" xfId="0" applyFont="1"/>
    <xf borderId="0" fillId="0" fontId="1" numFmtId="167" xfId="0" applyFont="1" applyNumberFormat="1"/>
    <xf borderId="0" fillId="0" fontId="1" numFmtId="165" xfId="0" applyFont="1" applyNumberFormat="1"/>
    <xf borderId="0" fillId="0" fontId="1" numFmtId="14" xfId="0" applyFont="1" applyNumberFormat="1"/>
    <xf borderId="0" fillId="0" fontId="1" numFmtId="168" xfId="0" applyAlignment="1" applyFont="1" applyNumberFormat="1">
      <alignment horizontal="center" readingOrder="0"/>
    </xf>
    <xf borderId="0" fillId="0" fontId="3" numFmtId="0" xfId="0" applyAlignment="1" applyFont="1">
      <alignment readingOrder="0"/>
    </xf>
    <xf borderId="0" fillId="0" fontId="1" numFmtId="0" xfId="0" applyAlignment="1" applyFont="1">
      <alignment horizontal="right" readingOrder="0" vertical="center"/>
    </xf>
    <xf borderId="0" fillId="0" fontId="4" numFmtId="0" xfId="0" applyAlignment="1" applyFont="1">
      <alignment readingOrder="0" vertical="center"/>
    </xf>
    <xf borderId="0" fillId="0" fontId="2" numFmtId="0" xfId="0" applyAlignment="1" applyFont="1">
      <alignment readingOrder="0"/>
    </xf>
    <xf borderId="0" fillId="0" fontId="1" numFmtId="0" xfId="0" applyAlignment="1" applyFont="1">
      <alignment horizontal="center" vertical="center"/>
    </xf>
    <xf borderId="1" fillId="2" fontId="2" numFmtId="0" xfId="0" applyAlignment="1" applyBorder="1" applyFill="1" applyFont="1">
      <alignment horizontal="center" readingOrder="0" vertical="center"/>
    </xf>
    <xf borderId="2" fillId="0" fontId="5" numFmtId="0" xfId="0" applyBorder="1" applyFont="1"/>
    <xf borderId="3" fillId="0" fontId="5" numFmtId="0" xfId="0" applyBorder="1" applyFont="1"/>
    <xf borderId="2" fillId="2" fontId="2" numFmtId="0" xfId="0" applyAlignment="1" applyBorder="1" applyFill="1" applyFont="1">
      <alignment horizontal="center" readingOrder="0" vertical="center"/>
    </xf>
    <xf borderId="4" fillId="2" fontId="3" numFmtId="3" xfId="0" applyAlignment="1" applyBorder="1" applyFill="1" applyFont="1" applyNumberFormat="1">
      <alignment horizontal="center" vertical="center"/>
    </xf>
    <xf borderId="5" fillId="0" fontId="5" numFmtId="0" xfId="0" applyBorder="1" applyFont="1"/>
    <xf borderId="6" fillId="0" fontId="5" numFmtId="0" xfId="0" applyBorder="1" applyFont="1"/>
    <xf borderId="5" fillId="2" fontId="3" numFmtId="3" xfId="0" applyAlignment="1" applyBorder="1" applyFill="1" applyFont="1" applyNumberFormat="1">
      <alignment horizontal="center" vertical="center"/>
    </xf>
    <xf borderId="0" fillId="2" fontId="2" numFmtId="0" xfId="0" applyAlignment="1" applyFill="1" applyFont="1">
      <alignment horizontal="center" readingOrder="0" shrinkToFit="0" wrapText="1"/>
    </xf>
    <xf borderId="0" fillId="0" fontId="1" numFmtId="0" xfId="0" applyAlignment="1" applyFont="1">
      <alignment readingOrder="0" shrinkToFit="0" wrapText="1"/>
    </xf>
    <xf borderId="4" fillId="2" fontId="3" numFmtId="165" xfId="0" applyAlignment="1" applyBorder="1" applyFill="1" applyFont="1" applyNumberFormat="1">
      <alignment horizontal="center" vertical="center"/>
    </xf>
    <xf borderId="0" fillId="0" fontId="1" numFmtId="166" xfId="0" applyAlignment="1" applyFont="1" applyNumberFormat="1">
      <alignment horizontal="left" readingOrder="0" shrinkToFit="0" wrapText="1"/>
    </xf>
    <xf borderId="5" fillId="2" fontId="3" numFmtId="10" xfId="0" applyAlignment="1" applyBorder="1" applyFill="1" applyFont="1" applyNumberFormat="1">
      <alignment horizontal="center" vertical="center"/>
    </xf>
    <xf borderId="0" fillId="0" fontId="1" numFmtId="0" xfId="0" applyAlignment="1" applyFont="1">
      <alignment readingOrder="0" shrinkToFit="0" vertical="center" wrapText="1"/>
    </xf>
    <xf borderId="0" fillId="2" fontId="6" numFmtId="0" xfId="0" applyAlignment="1" applyFill="1" applyFont="1">
      <alignment horizontal="center" readingOrder="0"/>
    </xf>
  </cellXfs>
  <cellStyles count="1">
    <cellStyle xfId="0" name="Normal" builtinId="0"/>
  </cellStyles>
  <dxfs count="2">
    <dxf>
      <font/>
      <fill>
        <patternFill patternType="none"/>
      </fill>
      <border/>
    </dxf>
    <dxf>
      <font>
        <b/>
        <color rgb="FFEA4335"/>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2.xml"/><Relationship Id="rId12" Type="http://schemas.microsoft.com/office/2007/relationships/slicerCache" Target="slicerCaches/slicerCache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dos Pedidos Não Cancelados por Região</a:t>
            </a:r>
          </a:p>
        </c:rich>
      </c:tx>
      <c:overlay val="0"/>
    </c:title>
    <c:plotArea>
      <c:layout/>
      <c:barChart>
        <c:barDir val="bar"/>
        <c:varyColors val="0"/>
        <c:ser>
          <c:idx val="0"/>
          <c:order val="0"/>
          <c:tx>
            <c:strRef>
              <c:f>Dinamicas!$B$20</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Dinamicas!$A$21:$A$25</c:f>
            </c:strRef>
          </c:cat>
          <c:val>
            <c:numRef>
              <c:f>Dinamicas!$B$21:$B$25</c:f>
              <c:numCache/>
            </c:numRef>
          </c:val>
        </c:ser>
        <c:axId val="1567554808"/>
        <c:axId val="1543955943"/>
      </c:barChart>
      <c:catAx>
        <c:axId val="156755480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43955943"/>
      </c:catAx>
      <c:valAx>
        <c:axId val="154395594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7554808"/>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Mensal dos Pedidos Não Cancelados</a:t>
            </a:r>
          </a:p>
        </c:rich>
      </c:tx>
      <c:overlay val="0"/>
    </c:title>
    <c:plotArea>
      <c:layout/>
      <c:lineChart>
        <c:varyColors val="0"/>
        <c:ser>
          <c:idx val="0"/>
          <c:order val="0"/>
          <c:tx>
            <c:strRef>
              <c:f>Dinamicas!$K$1</c:f>
            </c:strRef>
          </c:tx>
          <c:spPr>
            <a:ln cmpd="sng">
              <a:solidFill>
                <a:srgbClr val="4285F4"/>
              </a:solidFill>
            </a:ln>
          </c:spPr>
          <c:marker>
            <c:symbol val="none"/>
          </c:marker>
          <c:cat>
            <c:strRef>
              <c:f>Dinamicas!$J$2:$J$13</c:f>
            </c:strRef>
          </c:cat>
          <c:val>
            <c:numRef>
              <c:f>Dinamicas!$K$2:$K$13</c:f>
              <c:numCache/>
            </c:numRef>
          </c:val>
          <c:smooth val="0"/>
        </c:ser>
        <c:axId val="897040349"/>
        <c:axId val="1415948671"/>
      </c:lineChart>
      <c:catAx>
        <c:axId val="8970403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do pedido</a:t>
                </a:r>
              </a:p>
            </c:rich>
          </c:tx>
          <c:layout>
            <c:manualLayout>
              <c:xMode val="edge"/>
              <c:yMode val="edge"/>
              <c:x val="0.21322460937499998"/>
              <c:y val="0.917654986522911"/>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5948671"/>
      </c:catAx>
      <c:valAx>
        <c:axId val="1415948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7040349"/>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Pedidos por Situação de Entrega</a:t>
            </a:r>
          </a:p>
        </c:rich>
      </c:tx>
      <c:overlay val="0"/>
    </c:title>
    <c:plotArea>
      <c:layout/>
      <c:barChart>
        <c:barDir val="bar"/>
        <c:varyColors val="0"/>
        <c:ser>
          <c:idx val="0"/>
          <c:order val="0"/>
          <c:tx>
            <c:strRef>
              <c:f>Analises!$E$1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Analises!$D$2:$D$6</c:f>
            </c:strRef>
          </c:cat>
          <c:val>
            <c:numRef>
              <c:f>Analises!$E$2:$E$6</c:f>
              <c:numCache/>
            </c:numRef>
          </c:val>
        </c:ser>
        <c:axId val="187135065"/>
        <c:axId val="705347814"/>
      </c:barChart>
      <c:catAx>
        <c:axId val="1871350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Situacao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5347814"/>
      </c:catAx>
      <c:valAx>
        <c:axId val="7053478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Quantidade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135065"/>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Pendentes em Atraso por Região | Visão Geral</a:t>
            </a:r>
          </a:p>
        </c:rich>
      </c:tx>
      <c:overlay val="0"/>
    </c:title>
    <c:plotArea>
      <c:layout/>
      <c:barChart>
        <c:barDir val="col"/>
        <c:varyColors val="0"/>
        <c:ser>
          <c:idx val="0"/>
          <c:order val="0"/>
          <c:tx>
            <c:strRef>
              <c:f>Analises!$H$1</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Analises!$G$2:$G$6</c:f>
            </c:strRef>
          </c:cat>
          <c:val>
            <c:numRef>
              <c:f>Analises!$H$2:$H$6</c:f>
              <c:numCache/>
            </c:numRef>
          </c:val>
        </c:ser>
        <c:axId val="666634966"/>
        <c:axId val="957551874"/>
      </c:barChart>
      <c:catAx>
        <c:axId val="666634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57551874"/>
      </c:catAx>
      <c:valAx>
        <c:axId val="9575518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Pendentes_em_atraso</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6634966"/>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dos Pedidos Não Cancelados por Região</a:t>
            </a:r>
          </a:p>
        </c:rich>
      </c:tx>
      <c:overlay val="0"/>
    </c:title>
    <c:plotArea>
      <c:layout/>
      <c:barChart>
        <c:barDir val="bar"/>
        <c:varyColors val="0"/>
        <c:ser>
          <c:idx val="0"/>
          <c:order val="0"/>
          <c:tx>
            <c:strRef>
              <c:f>Dinamicas!$B$20</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Dinamicas!$A$21:$A$25</c:f>
            </c:strRef>
          </c:cat>
          <c:val>
            <c:numRef>
              <c:f>Dinamicas!$B$21:$B$25</c:f>
              <c:numCache/>
            </c:numRef>
          </c:val>
        </c:ser>
        <c:axId val="1263076804"/>
        <c:axId val="253814974"/>
      </c:barChart>
      <c:catAx>
        <c:axId val="126307680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Regiao</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53814974"/>
      </c:catAx>
      <c:valAx>
        <c:axId val="2538149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63076804"/>
        <c:crosses val="max"/>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Valor Mensal dos Pedidos Não Cancelados</a:t>
            </a:r>
          </a:p>
        </c:rich>
      </c:tx>
      <c:overlay val="0"/>
    </c:title>
    <c:plotArea>
      <c:layout/>
      <c:lineChart>
        <c:varyColors val="0"/>
        <c:ser>
          <c:idx val="0"/>
          <c:order val="0"/>
          <c:tx>
            <c:strRef>
              <c:f>Dinamicas!$K$1</c:f>
            </c:strRef>
          </c:tx>
          <c:spPr>
            <a:ln cmpd="sng">
              <a:solidFill>
                <a:srgbClr val="4285F4"/>
              </a:solidFill>
            </a:ln>
          </c:spPr>
          <c:marker>
            <c:symbol val="none"/>
          </c:marker>
          <c:cat>
            <c:strRef>
              <c:f>Dinamicas!$J$2:$J$13</c:f>
            </c:strRef>
          </c:cat>
          <c:val>
            <c:numRef>
              <c:f>Dinamicas!$K$2:$K$13</c:f>
              <c:numCache/>
            </c:numRef>
          </c:val>
          <c:smooth val="0"/>
        </c:ser>
        <c:axId val="1870424124"/>
        <c:axId val="2138628814"/>
      </c:lineChart>
      <c:catAx>
        <c:axId val="187042412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 do pedido</a:t>
                </a:r>
              </a:p>
            </c:rich>
          </c:tx>
          <c:layout>
            <c:manualLayout>
              <c:xMode val="edge"/>
              <c:yMode val="edge"/>
              <c:x val="0.21322460937499998"/>
              <c:y val="0.917654986522911"/>
            </c:manualLayout>
          </c:layout>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8628814"/>
      </c:catAx>
      <c:valAx>
        <c:axId val="21386288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Valor dos pedidos (R$)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0424124"/>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771525</xdr:colOff>
      <xdr:row>19</xdr:row>
      <xdr:rowOff>28575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285750</xdr:colOff>
      <xdr:row>19</xdr:row>
      <xdr:rowOff>9525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771525</xdr:colOff>
      <xdr:row>14</xdr:row>
      <xdr:rowOff>76200</xdr:rowOff>
    </xdr:from>
    <xdr:ext cx="2857500" cy="2857500"/>
    <mc:AlternateContent>
      <mc:Choice Requires="sle15">
        <xdr:graphicFrame>
          <xdr:nvGraphicFramePr>
            <xdr:cNvPr id="1" name="Regiao_1"/>
            <xdr:cNvGraphicFramePr/>
          </xdr:nvGraphicFramePr>
          <xdr:xfrm>
            <a:off x="0" y="0"/>
            <a:ext cx="0" cy="0"/>
          </xdr:xfrm>
          <a:graphic>
            <a:graphicData uri="http://schemas.microsoft.com/office/drawing/2010/slicer">
              <x3Unk:slicer name="Regiao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771525</xdr:colOff>
      <xdr:row>16</xdr:row>
      <xdr:rowOff>133350</xdr:rowOff>
    </xdr:from>
    <xdr:ext cx="2857500" cy="2857500"/>
    <mc:AlternateContent>
      <mc:Choice Requires="sle15">
        <xdr:graphicFrame>
          <xdr:nvGraphicFramePr>
            <xdr:cNvPr id="2" name="Mes_Pedido_2"/>
            <xdr:cNvGraphicFramePr/>
          </xdr:nvGraphicFramePr>
          <xdr:xfrm>
            <a:off x="0" y="0"/>
            <a:ext cx="0" cy="0"/>
          </xdr:xfrm>
          <a:graphic>
            <a:graphicData uri="http://schemas.microsoft.com/office/drawing/2010/slicer">
              <x3Unk:slicer name="Mes_Pedido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10</xdr:row>
      <xdr:rowOff>200025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923925</xdr:colOff>
      <xdr:row>10</xdr:row>
      <xdr:rowOff>200025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200025</xdr:colOff>
      <xdr:row>31</xdr:row>
      <xdr:rowOff>38100</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371475</xdr:colOff>
      <xdr:row>31</xdr:row>
      <xdr:rowOff>38100</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37" sheet="Pedidos"/>
  </cacheSource>
  <cacheFields>
    <cacheField name="Pedido" numFmtId="0">
      <sharedItems containsSemiMixedTypes="0" containsString="0" containsNumber="1" containsInteger="1">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sharedItems>
    </cacheField>
    <cacheField name="Data_Pedido" numFmtId="164">
      <sharedItems containsSemiMixedTypes="0" containsDate="1" containsString="0">
        <d v="2025-01-05T00:00:00Z"/>
        <d v="2025-01-12T00:00:00Z"/>
        <d v="2025-01-22T00:00:00Z"/>
        <d v="2025-02-04T00:00:00Z"/>
        <d v="2025-02-13T00:00:00Z"/>
        <d v="2025-02-21T00:00:00Z"/>
        <d v="2025-03-03T00:00:00Z"/>
        <d v="2025-03-14T00:00:00Z"/>
        <d v="2025-03-24T00:00:00Z"/>
        <d v="2025-04-02T00:00:00Z"/>
        <d v="2025-04-12T00:00:00Z"/>
        <d v="2025-04-23T00:00:00Z"/>
        <d v="2025-05-05T00:00:00Z"/>
        <d v="2025-05-15T00:00:00Z"/>
        <d v="2025-05-24T00:00:00Z"/>
        <d v="2025-06-03T00:00:00Z"/>
        <d v="2025-06-13T00:00:00Z"/>
        <d v="2025-06-23T00:00:00Z"/>
        <d v="2025-07-04T00:00:00Z"/>
        <d v="2025-07-14T00:00:00Z"/>
        <d v="2025-07-24T00:00:00Z"/>
        <d v="2025-08-05T00:00:00Z"/>
        <d v="2025-08-15T00:00:00Z"/>
        <d v="2025-08-24T00:00:00Z"/>
        <d v="2025-09-03T00:00:00Z"/>
        <d v="2025-09-13T00:00:00Z"/>
        <d v="2025-09-23T00:00:00Z"/>
        <d v="2025-10-04T00:00:00Z"/>
        <d v="2025-10-14T00:00:00Z"/>
        <d v="2025-10-24T00:00:00Z"/>
        <d v="2025-11-05T00:00:00Z"/>
        <d v="2025-11-15T00:00:00Z"/>
        <d v="2025-11-23T00:00:00Z"/>
        <d v="2025-12-10T00:00:00Z"/>
        <d v="2025-12-18T00:00:00Z"/>
        <d v="2025-12-27T00:00:00Z"/>
      </sharedItems>
    </cacheField>
    <cacheField name="Cliente" numFmtId="0">
      <sharedItems>
        <s v="Cliente A"/>
        <s v="Cliente B"/>
        <s v="Cliente C"/>
        <s v="Cliente D"/>
        <s v="Cliente E"/>
        <s v="Cliente F"/>
        <s v="Cliente G"/>
        <s v="Cliente H"/>
        <s v="Cliente I"/>
        <s v="Cliente J"/>
        <s v="Cliente K"/>
        <s v="Cliente L"/>
      </sharedItems>
    </cacheField>
    <cacheField name="Regiao" numFmtId="0">
      <sharedItems>
        <s v="Sudeste"/>
        <s v="Sul"/>
        <s v="Nordeste"/>
        <s v="Centro-Oeste"/>
        <s v="Norte"/>
      </sharedItems>
    </cacheField>
    <cacheField name="Valor_Pedido" numFmtId="165">
      <sharedItems containsSemiMixedTypes="0" containsString="0" containsNumber="1" containsInteger="1">
        <n v="450.0"/>
        <n v="780.0"/>
        <n v="320.0"/>
        <n v="1200.0"/>
        <n v="560.0"/>
        <n v="890.0"/>
        <n v="650.0"/>
        <n v="940.0"/>
        <n v="410.0"/>
        <n v="1500.0"/>
        <n v="730.0"/>
        <n v="280.0"/>
        <n v="520.0"/>
        <n v="860.0"/>
        <n v="1100.0"/>
        <n v="1350.0"/>
        <n v="470.0"/>
        <n v="690.0"/>
        <n v="980.0"/>
        <n v="1250.0"/>
        <n v="380.0"/>
        <n v="1600.0"/>
        <n v="820.0"/>
        <n v="590.0"/>
        <n v="710.0"/>
        <n v="1450.0"/>
        <n v="930.0"/>
        <n v="1180.0"/>
        <n v="640.0"/>
        <n v="870.0"/>
        <n v="1720.0"/>
        <n v="1050.0"/>
        <n v="760.0"/>
        <n v="1900.0"/>
        <n v="1320.0"/>
        <n v="990.0"/>
      </sharedItems>
    </cacheField>
    <cacheField name="Data_Prevista" numFmtId="164">
      <sharedItems containsSemiMixedTypes="0" containsDate="1" containsString="0">
        <d v="2025-01-10T00:00:00Z"/>
        <d v="2025-01-18T00:00:00Z"/>
        <d v="2025-01-28T00:00:00Z"/>
        <d v="2025-02-11T00:00:00Z"/>
        <d v="2025-02-20T00:00:00Z"/>
        <d v="2025-02-28T00:00:00Z"/>
        <d v="2025-03-10T00:00:00Z"/>
        <d v="2025-03-21T00:00:00Z"/>
        <d v="2025-03-31T00:00:00Z"/>
        <d v="2025-04-09T00:00:00Z"/>
        <d v="2025-04-19T00:00:00Z"/>
        <d v="2025-04-30T00:00:00Z"/>
        <d v="2025-05-12T00:00:00Z"/>
        <d v="2025-05-22T00:00:00Z"/>
        <d v="2025-05-31T00:00:00Z"/>
        <d v="2025-06-10T00:00:00Z"/>
        <d v="2025-06-20T00:00:00Z"/>
        <d v="2025-06-30T00:00:00Z"/>
        <d v="2025-07-11T00:00:00Z"/>
        <d v="2025-07-21T00:00:00Z"/>
        <d v="2025-07-31T00:00:00Z"/>
        <d v="2025-08-12T00:00:00Z"/>
        <d v="2025-08-22T00:00:00Z"/>
        <d v="2025-08-31T00:00:00Z"/>
        <d v="2025-09-10T00:00:00Z"/>
        <d v="2025-09-20T00:00:00Z"/>
        <d v="2025-09-30T00:00:00Z"/>
        <d v="2025-10-11T00:00:00Z"/>
        <d v="2025-10-21T00:00:00Z"/>
        <d v="2025-10-31T00:00:00Z"/>
        <d v="2025-11-12T00:00:00Z"/>
        <d v="2025-11-22T00:00:00Z"/>
        <d v="2025-11-30T00:00:00Z"/>
        <d v="2025-12-17T00:00:00Z"/>
        <d v="2025-12-26T00:00:00Z"/>
        <d v="2026-01-05T00:00:00Z"/>
      </sharedItems>
    </cacheField>
    <cacheField name="Data_Entrega" numFmtId="164">
      <sharedItems containsDate="1" containsString="0" containsBlank="1">
        <d v="2025-01-09T00:00:00Z"/>
        <d v="2025-01-20T00:00:00Z"/>
        <d v="2025-01-28T00:00:00Z"/>
        <d v="2025-02-10T00:00:00Z"/>
        <d v="2025-02-23T00:00:00Z"/>
        <m/>
        <d v="2025-03-10T00:00:00Z"/>
        <d v="2025-03-24T00:00:00Z"/>
        <d v="2025-03-29T00:00:00Z"/>
        <d v="2025-04-08T00:00:00Z"/>
        <d v="2025-04-21T00:00:00Z"/>
        <d v="2025-05-12T00:00:00Z"/>
        <d v="2025-05-21T00:00:00Z"/>
        <d v="2025-06-03T00:00:00Z"/>
        <d v="2025-06-09T00:00:00Z"/>
        <d v="2025-06-22T00:00:00Z"/>
        <d v="2025-06-30T00:00:00Z"/>
        <d v="2025-07-10T00:00:00Z"/>
        <d v="2025-07-24T00:00:00Z"/>
        <d v="2025-08-12T00:00:00Z"/>
        <d v="2025-08-21T00:00:00Z"/>
        <d v="2025-09-02T00:00:00Z"/>
        <d v="2025-09-09T00:00:00Z"/>
        <d v="2025-09-23T00:00:00Z"/>
        <d v="2025-09-30T00:00:00Z"/>
        <d v="2025-10-10T00:00:00Z"/>
        <d v="2025-10-23T00:00:00Z"/>
        <d v="2025-11-12T00:00:00Z"/>
        <d v="2025-11-25T00:00:00Z"/>
        <d v="2025-11-29T00:00:00Z"/>
      </sharedItems>
    </cacheField>
    <cacheField name="Status" numFmtId="0">
      <sharedItems>
        <s v="Entregue"/>
        <s v="Cancelado"/>
        <s v="Em transporte"/>
        <s v="Em preparação"/>
      </sharedItems>
    </cacheField>
    <cacheField name="Dias_Atraso">
      <sharedItems containsMixedTypes="1" containsNumber="1" containsInteger="1">
        <n v="0.0"/>
        <n v="2.0"/>
        <n v="3.0"/>
        <s v=""/>
        <n v="14.0"/>
        <n v="5.0"/>
      </sharedItems>
    </cacheField>
    <cacheField name="Situacao_Entrega" numFmtId="0">
      <sharedItems>
        <s v="Entregue no prazo"/>
        <s v="Entregue com atraso"/>
        <s v="Cancelado"/>
        <s v="Pendente em atraso"/>
        <s v="Pendente no prazo"/>
      </sharedItems>
    </cacheField>
    <cacheField name="Mes_Pedido" numFmtId="14">
      <sharedItems containsSemiMixedTypes="0" containsDate="1" containsString="0">
        <d v="2025-01-01T00:00:00Z"/>
        <d v="2025-02-01T00:00:00Z"/>
        <d v="2025-03-01T00:00:00Z"/>
        <d v="2025-04-01T00:00:00Z"/>
        <d v="2025-05-01T00:00:00Z"/>
        <d v="2025-06-01T00:00:00Z"/>
        <d v="2025-07-01T00:00:00Z"/>
        <d v="2025-08-01T00:00:00Z"/>
        <d v="2025-09-01T00:00:00Z"/>
        <d v="2025-10-01T00:00:00Z"/>
        <d v="2025-11-01T00:00:00Z"/>
        <d v="2025-12-01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inamicas" cacheId="0" dataCaption="" compact="0" compactData="0">
  <location ref="A1:G15" firstHeaderRow="0" firstDataRow="1" firstDataCol="1"/>
  <pivotFields>
    <pivotField name="Pedid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liente" compact="0" outline="0" multipleItemSelectionAllowed="1" showAll="0">
      <items>
        <item x="0"/>
        <item x="1"/>
        <item x="2"/>
        <item x="3"/>
        <item x="4"/>
        <item x="5"/>
        <item x="6"/>
        <item x="7"/>
        <item x="8"/>
        <item x="9"/>
        <item x="10"/>
        <item x="11"/>
        <item t="default"/>
      </items>
    </pivotField>
    <pivotField name="Regiao" compact="0" outline="0" multipleItemSelectionAllowed="1" showAll="0">
      <items>
        <item x="0"/>
        <item x="1"/>
        <item x="2"/>
        <item x="3"/>
        <item x="4"/>
        <item t="default"/>
      </items>
    </pivotField>
    <pivotField name="Valor_Pedido"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compact="0" outline="0" multipleItemSelectionAllowed="1" showAll="0">
      <items>
        <item x="0"/>
        <item x="1"/>
        <item x="2"/>
        <item x="3"/>
        <item t="default"/>
      </items>
    </pivotField>
    <pivotField name="Dias_Atraso" compact="0" outline="0" multipleItemSelectionAllowed="1" showAll="0">
      <items>
        <item x="0"/>
        <item x="1"/>
        <item x="2"/>
        <item x="3"/>
        <item x="4"/>
        <item x="5"/>
        <item t="default"/>
      </items>
    </pivotField>
    <pivotField name="Situacao_Entrega" axis="axisCol" compact="0" outline="0" multipleItemSelectionAllowed="1" showAll="0" sortType="ascending">
      <items>
        <item x="2"/>
        <item x="1"/>
        <item x="0"/>
        <item x="3"/>
        <item x="4"/>
        <item t="default"/>
      </items>
    </pivotField>
    <pivotField name="Mes_Pedido" axis="axisRow" compact="0" numFmtId="14" outline="0" multipleItemSelectionAllowed="1" showAll="0" sortType="ascending">
      <items>
        <item x="0"/>
        <item x="1"/>
        <item x="2"/>
        <item x="3"/>
        <item x="4"/>
        <item x="5"/>
        <item x="6"/>
        <item x="7"/>
        <item x="8"/>
        <item x="9"/>
        <item x="10"/>
        <item x="11"/>
        <item t="default"/>
      </items>
    </pivotField>
  </pivotFields>
  <rowFields>
    <field x="10"/>
  </rowFields>
  <colFields>
    <field x="9"/>
  </colFields>
  <dataFields>
    <dataField name="COUNTA of Pedido" fld="0" subtotal="count" baseField="0"/>
  </dataFields>
</pivotTableDefinition>
</file>

<file path=xl/pivotTables/pivotTable2.xml><?xml version="1.0" encoding="utf-8"?>
<pivotTableDefinition xmlns="http://schemas.openxmlformats.org/spreadsheetml/2006/main" name="Dinamicas 2" cacheId="0" dataCaption="" compact="0" compactData="0">
  <location ref="J3:K16" firstHeaderRow="0" firstDataRow="1" firstDataCol="0" rowPageCount="1" colPageCount="1"/>
  <pivotFields>
    <pivotField name="Ped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liente" compact="0" outline="0" multipleItemSelectionAllowed="1" showAll="0">
      <items>
        <item x="0"/>
        <item x="1"/>
        <item x="2"/>
        <item x="3"/>
        <item x="4"/>
        <item x="5"/>
        <item x="6"/>
        <item x="7"/>
        <item x="8"/>
        <item x="9"/>
        <item x="10"/>
        <item x="11"/>
        <item t="default"/>
      </items>
    </pivotField>
    <pivotField name="Regiao" compact="0" outline="0" multipleItemSelectionAllowed="1" showAll="0">
      <items>
        <item x="0"/>
        <item x="1"/>
        <item x="2"/>
        <item x="3"/>
        <item x="4"/>
        <item t="default"/>
      </items>
    </pivotField>
    <pivotField name="Valor_Pedid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axis="axisPage" compact="0" outline="0" multipleItemSelectionAllowed="1" showAll="0">
      <items>
        <item x="0"/>
        <item h="1" x="1"/>
        <item x="2"/>
        <item x="3"/>
        <item t="default"/>
      </items>
    </pivotField>
    <pivotField name="Dias_Atraso" compact="0" outline="0" multipleItemSelectionAllowed="1" showAll="0">
      <items>
        <item x="0"/>
        <item x="1"/>
        <item x="2"/>
        <item x="3"/>
        <item x="4"/>
        <item x="5"/>
        <item t="default"/>
      </items>
    </pivotField>
    <pivotField name="Situacao_Entrega" compact="0" outline="0" multipleItemSelectionAllowed="1" showAll="0">
      <items>
        <item x="0"/>
        <item x="1"/>
        <item x="2"/>
        <item x="3"/>
        <item x="4"/>
        <item t="default"/>
      </items>
    </pivotField>
    <pivotField name="Mes_Pedido" axis="axisRow" compact="0" numFmtId="14" outline="0" multipleItemSelectionAllowed="1" showAll="0" sortType="ascending">
      <items>
        <item x="0"/>
        <item x="1"/>
        <item x="2"/>
        <item x="3"/>
        <item x="4"/>
        <item x="5"/>
        <item x="6"/>
        <item x="7"/>
        <item x="8"/>
        <item x="9"/>
        <item x="10"/>
        <item x="11"/>
        <item t="default"/>
      </items>
    </pivotField>
  </pivotFields>
  <rowFields>
    <field x="10"/>
  </rowFields>
  <pageFields>
    <pageField fld="7"/>
  </pageFields>
  <dataFields>
    <dataField name="SUM of Valor_Pedido" fld="4" baseField="0"/>
  </dataFields>
</pivotTableDefinition>
</file>

<file path=xl/pivotTables/pivotTable3.xml><?xml version="1.0" encoding="utf-8"?>
<pivotTableDefinition xmlns="http://schemas.openxmlformats.org/spreadsheetml/2006/main" name="Dinamicas 3" cacheId="0" dataCaption="" compact="0" compactData="0">
  <location ref="A20:B26" firstHeaderRow="0" firstDataRow="1" firstDataCol="0" rowPageCount="1" colPageCount="1"/>
  <pivotFields>
    <pivotField name="Pedi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Pedido"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Cliente" compact="0" outline="0" multipleItemSelectionAllowed="1" showAll="0">
      <items>
        <item x="0"/>
        <item x="1"/>
        <item x="2"/>
        <item x="3"/>
        <item x="4"/>
        <item x="5"/>
        <item x="6"/>
        <item x="7"/>
        <item x="8"/>
        <item x="9"/>
        <item x="10"/>
        <item x="11"/>
        <item t="default"/>
      </items>
    </pivotField>
    <pivotField name="Regiao" axis="axisRow" compact="0" outline="0" multipleItemSelectionAllowed="1" showAll="0" sortType="ascending">
      <items>
        <item x="3"/>
        <item x="2"/>
        <item x="4"/>
        <item x="0"/>
        <item x="1"/>
        <item t="default"/>
      </items>
    </pivotField>
    <pivotField name="Valor_Pedid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Previst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Data_Entrega"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Status" axis="axisPage" compact="0" outline="0" multipleItemSelectionAllowed="1" showAll="0">
      <items>
        <item x="0"/>
        <item h="1" x="1"/>
        <item x="2"/>
        <item x="3"/>
        <item t="default"/>
      </items>
    </pivotField>
    <pivotField name="Dias_Atraso" compact="0" outline="0" multipleItemSelectionAllowed="1" showAll="0">
      <items>
        <item x="0"/>
        <item x="1"/>
        <item x="2"/>
        <item x="3"/>
        <item x="4"/>
        <item x="5"/>
        <item t="default"/>
      </items>
    </pivotField>
    <pivotField name="Situacao_Entrega" compact="0" outline="0" multipleItemSelectionAllowed="1" showAll="0">
      <items>
        <item x="0"/>
        <item x="1"/>
        <item x="2"/>
        <item x="3"/>
        <item x="4"/>
        <item t="default"/>
      </items>
    </pivotField>
    <pivotField name="Mes_Pedido" compact="0" numFmtId="14" outline="0" multipleItemSelectionAllowed="1" showAll="0">
      <items>
        <item x="0"/>
        <item x="1"/>
        <item x="2"/>
        <item x="3"/>
        <item x="4"/>
        <item x="5"/>
        <item x="6"/>
        <item x="7"/>
        <item x="8"/>
        <item x="9"/>
        <item x="10"/>
        <item x="11"/>
        <item t="default"/>
      </items>
    </pivotField>
  </pivotFields>
  <rowFields>
    <field x="3"/>
  </rowFields>
  <pageFields>
    <pageField fld="7"/>
  </pageFields>
  <dataFields>
    <dataField name="SUM of Valor_Pedido"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ao">
  <x14:extLst>
    <ext uri="{2F2917AC-EB37-4324-AD4E-5DD8C200BD13}">
      <x15:tableSlicerCache tableId="1" column="4"/>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Mes_Pedido">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ao_1" cache="SlicerCache_Table_1_Col_4" caption="Regiao" rowHeight="247650"/>
  <x14:slicer name="Mes_Pedido_2" cache="SlicerCache_Table_1_Col_11" caption="Mes_Pedido" rowHeight="247650"/>
</x14:slicers>
</file>

<file path=xl/tables/table1.xml><?xml version="1.0" encoding="utf-8"?>
<table xmlns="http://schemas.openxmlformats.org/spreadsheetml/2006/main" ref="A1:K37" displayName="Table_1" name="Table_1" id="1">
  <autoFilter ref="$A$1:$K$37"/>
  <tableColumns count="11">
    <tableColumn name="Pedido" id="1"/>
    <tableColumn name="Data_Pedido" id="2"/>
    <tableColumn name="Cliente" id="3"/>
    <tableColumn name="Regiao" id="4"/>
    <tableColumn name="Valor_Pedido" id="5"/>
    <tableColumn name="Data_Prevista" id="6"/>
    <tableColumn name="Data_Entrega" id="7"/>
    <tableColumn name="Status" id="8"/>
    <tableColumn name="Dias_Atraso" id="9"/>
    <tableColumn name="Situacao_Entrega" id="10"/>
    <tableColumn name="Mes_Pedido"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15.75"/>
  </cols>
  <sheetData>
    <row r="1">
      <c r="A1" s="2" t="s">
        <v>16</v>
      </c>
      <c r="B1" s="2" t="s">
        <v>17</v>
      </c>
      <c r="C1" s="2" t="s">
        <v>18</v>
      </c>
      <c r="D1" s="2" t="s">
        <v>7</v>
      </c>
      <c r="E1" s="2" t="s">
        <v>19</v>
      </c>
      <c r="F1" s="2" t="s">
        <v>20</v>
      </c>
      <c r="G1" s="2" t="s">
        <v>21</v>
      </c>
      <c r="H1" s="2" t="s">
        <v>22</v>
      </c>
      <c r="I1" s="5" t="s">
        <v>23</v>
      </c>
      <c r="J1" s="2" t="s">
        <v>24</v>
      </c>
      <c r="K1" s="2" t="s">
        <v>25</v>
      </c>
      <c r="L1" s="6"/>
      <c r="M1" s="6"/>
      <c r="N1" s="6"/>
      <c r="O1" s="6"/>
      <c r="P1" s="6"/>
      <c r="Q1" s="6"/>
      <c r="R1" s="6"/>
      <c r="S1" s="6"/>
      <c r="T1" s="6"/>
      <c r="U1" s="6"/>
      <c r="V1" s="6"/>
      <c r="W1" s="6"/>
      <c r="X1" s="6"/>
      <c r="Y1" s="6"/>
      <c r="Z1" s="6"/>
    </row>
    <row r="2">
      <c r="A2" s="2">
        <v>2001.0</v>
      </c>
      <c r="B2" s="7">
        <v>45662.0</v>
      </c>
      <c r="C2" s="2" t="s">
        <v>26</v>
      </c>
      <c r="D2" s="2" t="s">
        <v>9</v>
      </c>
      <c r="E2" s="8">
        <v>450.0</v>
      </c>
      <c r="F2" s="7">
        <v>45667.0</v>
      </c>
      <c r="G2" s="7">
        <v>45666.0</v>
      </c>
      <c r="H2" s="2" t="s">
        <v>28</v>
      </c>
      <c r="I2" s="9">
        <f>IF(H2="Cancelado","",IF(G2&lt;&gt;"",MAX(G2-F2,0),MAX(Listas!$A$2-F2,0)))</f>
        <v>0</v>
      </c>
      <c r="J2" s="6" t="str">
        <f t="shared" ref="J2:J37" si="1">IF(H2="Cancelado","Cancelado",IF(G2&lt;&gt;"",IF(I2&gt;0,"Entregue com atraso","Entregue no prazo"),IF(I2&gt;0,"Pendente em atraso","Pendente no prazo")))</f>
        <v>Entregue no prazo</v>
      </c>
      <c r="K2" s="10">
        <f t="shared" ref="K2:K37" si="2">DATE(YEAR(B2),MONTH(B2),1)</f>
        <v>45658</v>
      </c>
      <c r="L2" s="6"/>
      <c r="M2" s="6"/>
      <c r="N2" s="6"/>
      <c r="O2" s="6"/>
      <c r="P2" s="6"/>
      <c r="Q2" s="6"/>
      <c r="R2" s="6"/>
      <c r="S2" s="6"/>
      <c r="T2" s="6"/>
      <c r="U2" s="6"/>
      <c r="V2" s="6"/>
      <c r="W2" s="6"/>
      <c r="X2" s="6"/>
      <c r="Y2" s="6"/>
      <c r="Z2" s="6"/>
    </row>
    <row r="3">
      <c r="A3" s="2">
        <v>2002.0</v>
      </c>
      <c r="B3" s="7">
        <v>45669.0</v>
      </c>
      <c r="C3" s="2" t="s">
        <v>32</v>
      </c>
      <c r="D3" s="2" t="s">
        <v>11</v>
      </c>
      <c r="E3" s="8">
        <v>780.0</v>
      </c>
      <c r="F3" s="7">
        <v>45675.0</v>
      </c>
      <c r="G3" s="7">
        <v>45677.0</v>
      </c>
      <c r="H3" s="2" t="s">
        <v>28</v>
      </c>
      <c r="I3" s="9">
        <f>IF(H3="Cancelado","",IF(G3&lt;&gt;"",MAX(G3-F3,0),MAX(Listas!$A$2-F3,0)))</f>
        <v>2</v>
      </c>
      <c r="J3" s="6" t="str">
        <f t="shared" si="1"/>
        <v>Entregue com atraso</v>
      </c>
      <c r="K3" s="10">
        <f t="shared" si="2"/>
        <v>45658</v>
      </c>
      <c r="L3" s="6"/>
      <c r="M3" s="6"/>
      <c r="N3" s="6"/>
      <c r="O3" s="6"/>
      <c r="P3" s="6"/>
      <c r="Q3" s="6"/>
      <c r="R3" s="6"/>
      <c r="S3" s="6"/>
      <c r="T3" s="6"/>
      <c r="U3" s="6"/>
      <c r="V3" s="6"/>
      <c r="W3" s="6"/>
      <c r="X3" s="6"/>
      <c r="Y3" s="6"/>
      <c r="Z3" s="6"/>
    </row>
    <row r="4">
      <c r="A4" s="2">
        <v>2003.0</v>
      </c>
      <c r="B4" s="7">
        <v>45679.0</v>
      </c>
      <c r="C4" s="2" t="s">
        <v>35</v>
      </c>
      <c r="D4" s="2" t="s">
        <v>12</v>
      </c>
      <c r="E4" s="8">
        <v>320.0</v>
      </c>
      <c r="F4" s="7">
        <v>45685.0</v>
      </c>
      <c r="G4" s="7">
        <v>45685.0</v>
      </c>
      <c r="H4" s="2" t="s">
        <v>28</v>
      </c>
      <c r="I4" s="9">
        <f>IF(H4="Cancelado","",IF(G4&lt;&gt;"",MAX(G4-F4,0),MAX(Listas!$A$2-F4,0)))</f>
        <v>0</v>
      </c>
      <c r="J4" s="6" t="str">
        <f t="shared" si="1"/>
        <v>Entregue no prazo</v>
      </c>
      <c r="K4" s="10">
        <f t="shared" si="2"/>
        <v>45658</v>
      </c>
      <c r="L4" s="6"/>
      <c r="M4" s="6"/>
      <c r="N4" s="6"/>
      <c r="O4" s="6"/>
      <c r="P4" s="6"/>
      <c r="Q4" s="6"/>
      <c r="R4" s="6"/>
      <c r="S4" s="6"/>
      <c r="T4" s="6"/>
      <c r="U4" s="6"/>
      <c r="V4" s="6"/>
      <c r="W4" s="6"/>
      <c r="X4" s="6"/>
      <c r="Y4" s="6"/>
      <c r="Z4" s="6"/>
    </row>
    <row r="5">
      <c r="A5" s="2">
        <v>2004.0</v>
      </c>
      <c r="B5" s="7">
        <v>45692.0</v>
      </c>
      <c r="C5" s="2" t="s">
        <v>38</v>
      </c>
      <c r="D5" s="2" t="s">
        <v>13</v>
      </c>
      <c r="E5" s="8">
        <v>1200.0</v>
      </c>
      <c r="F5" s="7">
        <v>45699.0</v>
      </c>
      <c r="G5" s="7">
        <v>45698.0</v>
      </c>
      <c r="H5" s="2" t="s">
        <v>28</v>
      </c>
      <c r="I5" s="9">
        <f>IF(H5="Cancelado","",IF(G5&lt;&gt;"",MAX(G5-F5,0),MAX(Listas!$A$2-F5,0)))</f>
        <v>0</v>
      </c>
      <c r="J5" s="6" t="str">
        <f t="shared" si="1"/>
        <v>Entregue no prazo</v>
      </c>
      <c r="K5" s="10">
        <f t="shared" si="2"/>
        <v>45689</v>
      </c>
      <c r="L5" s="6"/>
      <c r="M5" s="6"/>
      <c r="N5" s="6"/>
      <c r="O5" s="6"/>
      <c r="P5" s="6"/>
      <c r="Q5" s="6"/>
      <c r="R5" s="6"/>
      <c r="S5" s="6"/>
      <c r="T5" s="6"/>
      <c r="U5" s="6"/>
      <c r="V5" s="6"/>
      <c r="W5" s="6"/>
      <c r="X5" s="6"/>
      <c r="Y5" s="6"/>
      <c r="Z5" s="6"/>
    </row>
    <row r="6">
      <c r="A6" s="2">
        <v>2005.0</v>
      </c>
      <c r="B6" s="7">
        <v>45701.0</v>
      </c>
      <c r="C6" s="2" t="s">
        <v>40</v>
      </c>
      <c r="D6" s="2" t="s">
        <v>14</v>
      </c>
      <c r="E6" s="8">
        <v>560.0</v>
      </c>
      <c r="F6" s="7">
        <v>45708.0</v>
      </c>
      <c r="G6" s="7">
        <v>45711.0</v>
      </c>
      <c r="H6" s="2" t="s">
        <v>28</v>
      </c>
      <c r="I6" s="9">
        <f>IF(H6="Cancelado","",IF(G6&lt;&gt;"",MAX(G6-F6,0),MAX(Listas!$A$2-F6,0)))</f>
        <v>3</v>
      </c>
      <c r="J6" s="6" t="str">
        <f t="shared" si="1"/>
        <v>Entregue com atraso</v>
      </c>
      <c r="K6" s="10">
        <f t="shared" si="2"/>
        <v>45689</v>
      </c>
      <c r="L6" s="6"/>
      <c r="M6" s="6"/>
      <c r="N6" s="6"/>
      <c r="O6" s="6"/>
      <c r="P6" s="6"/>
      <c r="Q6" s="6"/>
      <c r="R6" s="6"/>
      <c r="S6" s="6"/>
      <c r="T6" s="6"/>
      <c r="U6" s="6"/>
      <c r="V6" s="6"/>
      <c r="W6" s="6"/>
      <c r="X6" s="6"/>
      <c r="Y6" s="6"/>
      <c r="Z6" s="6"/>
    </row>
    <row r="7">
      <c r="A7" s="2">
        <v>2006.0</v>
      </c>
      <c r="B7" s="7">
        <v>45709.0</v>
      </c>
      <c r="C7" s="2" t="s">
        <v>41</v>
      </c>
      <c r="D7" s="2" t="s">
        <v>9</v>
      </c>
      <c r="E7" s="8">
        <v>890.0</v>
      </c>
      <c r="F7" s="7">
        <v>45716.0</v>
      </c>
      <c r="G7" s="7"/>
      <c r="H7" s="2" t="s">
        <v>37</v>
      </c>
      <c r="I7" s="9" t="str">
        <f>IF(H7="Cancelado","",IF(G7&lt;&gt;"",MAX(G7-F7,0),MAX(Listas!$A$2-F7,0)))</f>
        <v/>
      </c>
      <c r="J7" s="6" t="str">
        <f t="shared" si="1"/>
        <v>Cancelado</v>
      </c>
      <c r="K7" s="10">
        <f t="shared" si="2"/>
        <v>45689</v>
      </c>
      <c r="L7" s="6"/>
      <c r="M7" s="6"/>
      <c r="N7" s="6"/>
      <c r="O7" s="6"/>
      <c r="P7" s="6"/>
      <c r="Q7" s="6"/>
      <c r="R7" s="6"/>
      <c r="S7" s="6"/>
      <c r="T7" s="6"/>
      <c r="U7" s="6"/>
      <c r="V7" s="6"/>
      <c r="W7" s="6"/>
      <c r="X7" s="6"/>
      <c r="Y7" s="6"/>
      <c r="Z7" s="6"/>
    </row>
    <row r="8">
      <c r="A8" s="2">
        <v>2007.0</v>
      </c>
      <c r="B8" s="7">
        <v>45719.0</v>
      </c>
      <c r="C8" s="2" t="s">
        <v>42</v>
      </c>
      <c r="D8" s="2" t="s">
        <v>11</v>
      </c>
      <c r="E8" s="8">
        <v>650.0</v>
      </c>
      <c r="F8" s="7">
        <v>45726.0</v>
      </c>
      <c r="G8" s="7">
        <v>45726.0</v>
      </c>
      <c r="H8" s="2" t="s">
        <v>28</v>
      </c>
      <c r="I8" s="9">
        <f>IF(H8="Cancelado","",IF(G8&lt;&gt;"",MAX(G8-F8,0),MAX(Listas!$A$2-F8,0)))</f>
        <v>0</v>
      </c>
      <c r="J8" s="6" t="str">
        <f t="shared" si="1"/>
        <v>Entregue no prazo</v>
      </c>
      <c r="K8" s="10">
        <f t="shared" si="2"/>
        <v>45717</v>
      </c>
      <c r="L8" s="6"/>
      <c r="M8" s="6"/>
      <c r="N8" s="6"/>
      <c r="O8" s="6"/>
      <c r="P8" s="6"/>
      <c r="Q8" s="6"/>
      <c r="R8" s="6"/>
      <c r="S8" s="6"/>
      <c r="T8" s="6"/>
      <c r="U8" s="6"/>
      <c r="V8" s="6"/>
      <c r="W8" s="6"/>
      <c r="X8" s="6"/>
      <c r="Y8" s="6"/>
      <c r="Z8" s="6"/>
    </row>
    <row r="9">
      <c r="A9" s="2">
        <v>2008.0</v>
      </c>
      <c r="B9" s="7">
        <v>45730.0</v>
      </c>
      <c r="C9" s="2" t="s">
        <v>43</v>
      </c>
      <c r="D9" s="2" t="s">
        <v>12</v>
      </c>
      <c r="E9" s="8">
        <v>940.0</v>
      </c>
      <c r="F9" s="7">
        <v>45737.0</v>
      </c>
      <c r="G9" s="7">
        <v>45740.0</v>
      </c>
      <c r="H9" s="2" t="s">
        <v>28</v>
      </c>
      <c r="I9" s="9">
        <f>IF(H9="Cancelado","",IF(G9&lt;&gt;"",MAX(G9-F9,0),MAX(Listas!$A$2-F9,0)))</f>
        <v>3</v>
      </c>
      <c r="J9" s="6" t="str">
        <f t="shared" si="1"/>
        <v>Entregue com atraso</v>
      </c>
      <c r="K9" s="10">
        <f t="shared" si="2"/>
        <v>45717</v>
      </c>
      <c r="L9" s="6"/>
      <c r="M9" s="6"/>
      <c r="N9" s="6"/>
      <c r="O9" s="6"/>
      <c r="P9" s="6"/>
      <c r="Q9" s="6"/>
      <c r="R9" s="6"/>
      <c r="S9" s="6"/>
      <c r="T9" s="6"/>
      <c r="U9" s="6"/>
      <c r="V9" s="6"/>
      <c r="W9" s="6"/>
      <c r="X9" s="6"/>
      <c r="Y9" s="6"/>
      <c r="Z9" s="6"/>
    </row>
    <row r="10">
      <c r="A10" s="2">
        <v>2009.0</v>
      </c>
      <c r="B10" s="7">
        <v>45740.0</v>
      </c>
      <c r="C10" s="2" t="s">
        <v>44</v>
      </c>
      <c r="D10" s="2" t="s">
        <v>13</v>
      </c>
      <c r="E10" s="8">
        <v>410.0</v>
      </c>
      <c r="F10" s="7">
        <v>45747.0</v>
      </c>
      <c r="G10" s="7">
        <v>45745.0</v>
      </c>
      <c r="H10" s="2" t="s">
        <v>28</v>
      </c>
      <c r="I10" s="9">
        <f>IF(H10="Cancelado","",IF(G10&lt;&gt;"",MAX(G10-F10,0),MAX(Listas!$A$2-F10,0)))</f>
        <v>0</v>
      </c>
      <c r="J10" s="6" t="str">
        <f t="shared" si="1"/>
        <v>Entregue no prazo</v>
      </c>
      <c r="K10" s="10">
        <f t="shared" si="2"/>
        <v>45717</v>
      </c>
      <c r="L10" s="6"/>
      <c r="M10" s="6"/>
      <c r="N10" s="6"/>
      <c r="O10" s="6"/>
      <c r="P10" s="6"/>
      <c r="Q10" s="6"/>
      <c r="R10" s="6"/>
      <c r="S10" s="6"/>
      <c r="T10" s="6"/>
      <c r="U10" s="6"/>
      <c r="V10" s="6"/>
      <c r="W10" s="6"/>
      <c r="X10" s="6"/>
      <c r="Y10" s="6"/>
      <c r="Z10" s="6"/>
    </row>
    <row r="11">
      <c r="A11" s="2">
        <v>2010.0</v>
      </c>
      <c r="B11" s="7">
        <v>45749.0</v>
      </c>
      <c r="C11" s="2" t="s">
        <v>45</v>
      </c>
      <c r="D11" s="2" t="s">
        <v>14</v>
      </c>
      <c r="E11" s="8">
        <v>1500.0</v>
      </c>
      <c r="F11" s="7">
        <v>45756.0</v>
      </c>
      <c r="G11" s="7">
        <v>45755.0</v>
      </c>
      <c r="H11" s="2" t="s">
        <v>28</v>
      </c>
      <c r="I11" s="9">
        <f>IF(H11="Cancelado","",IF(G11&lt;&gt;"",MAX(G11-F11,0),MAX(Listas!$A$2-F11,0)))</f>
        <v>0</v>
      </c>
      <c r="J11" s="6" t="str">
        <f t="shared" si="1"/>
        <v>Entregue no prazo</v>
      </c>
      <c r="K11" s="10">
        <f t="shared" si="2"/>
        <v>45748</v>
      </c>
      <c r="L11" s="6"/>
      <c r="M11" s="6"/>
      <c r="N11" s="6"/>
      <c r="O11" s="6"/>
      <c r="P11" s="6"/>
      <c r="Q11" s="6"/>
      <c r="R11" s="6"/>
      <c r="S11" s="6"/>
      <c r="T11" s="6"/>
      <c r="U11" s="6"/>
      <c r="V11" s="6"/>
      <c r="W11" s="6"/>
      <c r="X11" s="6"/>
      <c r="Y11" s="6"/>
      <c r="Z11" s="6"/>
    </row>
    <row r="12">
      <c r="A12" s="2">
        <v>2011.0</v>
      </c>
      <c r="B12" s="7">
        <v>45759.0</v>
      </c>
      <c r="C12" s="2" t="s">
        <v>46</v>
      </c>
      <c r="D12" s="2" t="s">
        <v>9</v>
      </c>
      <c r="E12" s="8">
        <v>730.0</v>
      </c>
      <c r="F12" s="7">
        <v>45766.0</v>
      </c>
      <c r="G12" s="7">
        <v>45768.0</v>
      </c>
      <c r="H12" s="2" t="s">
        <v>28</v>
      </c>
      <c r="I12" s="9">
        <f>IF(H12="Cancelado","",IF(G12&lt;&gt;"",MAX(G12-F12,0),MAX(Listas!$A$2-F12,0)))</f>
        <v>2</v>
      </c>
      <c r="J12" s="6" t="str">
        <f t="shared" si="1"/>
        <v>Entregue com atraso</v>
      </c>
      <c r="K12" s="10">
        <f t="shared" si="2"/>
        <v>45748</v>
      </c>
      <c r="L12" s="6"/>
      <c r="M12" s="6"/>
      <c r="N12" s="6"/>
      <c r="O12" s="6"/>
      <c r="P12" s="6"/>
      <c r="Q12" s="6"/>
      <c r="R12" s="6"/>
      <c r="S12" s="6"/>
      <c r="T12" s="6"/>
      <c r="U12" s="6"/>
      <c r="V12" s="6"/>
      <c r="W12" s="6"/>
      <c r="X12" s="6"/>
      <c r="Y12" s="6"/>
      <c r="Z12" s="6"/>
    </row>
    <row r="13">
      <c r="A13" s="2">
        <v>2012.0</v>
      </c>
      <c r="B13" s="7">
        <v>45770.0</v>
      </c>
      <c r="C13" s="2" t="s">
        <v>47</v>
      </c>
      <c r="D13" s="2" t="s">
        <v>11</v>
      </c>
      <c r="E13" s="8">
        <v>280.0</v>
      </c>
      <c r="F13" s="7">
        <v>45777.0</v>
      </c>
      <c r="G13" s="14"/>
      <c r="H13" s="2" t="s">
        <v>37</v>
      </c>
      <c r="I13" s="9" t="str">
        <f>IF(H13="Cancelado","",IF(G13&lt;&gt;"",MAX(G13-F13,0),MAX(Listas!$A$2-F13,0)))</f>
        <v/>
      </c>
      <c r="J13" s="6" t="str">
        <f t="shared" si="1"/>
        <v>Cancelado</v>
      </c>
      <c r="K13" s="10">
        <f t="shared" si="2"/>
        <v>45748</v>
      </c>
      <c r="L13" s="6"/>
      <c r="M13" s="6"/>
      <c r="N13" s="6"/>
      <c r="O13" s="6"/>
      <c r="P13" s="6"/>
      <c r="Q13" s="6"/>
      <c r="R13" s="6"/>
      <c r="S13" s="6"/>
      <c r="T13" s="6"/>
      <c r="U13" s="6"/>
      <c r="V13" s="6"/>
      <c r="W13" s="6"/>
      <c r="X13" s="6"/>
      <c r="Y13" s="6"/>
      <c r="Z13" s="6"/>
    </row>
    <row r="14">
      <c r="A14" s="2">
        <v>2013.0</v>
      </c>
      <c r="B14" s="15">
        <v>45782.0</v>
      </c>
      <c r="C14" s="2" t="s">
        <v>26</v>
      </c>
      <c r="D14" s="2" t="s">
        <v>12</v>
      </c>
      <c r="E14" s="2">
        <v>520.0</v>
      </c>
      <c r="F14" s="15">
        <v>45789.0</v>
      </c>
      <c r="G14" s="15">
        <v>45789.0</v>
      </c>
      <c r="H14" s="2" t="s">
        <v>28</v>
      </c>
      <c r="I14" s="9">
        <f>IF(H14="Cancelado","",IF(G14&lt;&gt;"",MAX(G14-F14,0),MAX(Listas!$A$2-F14,0)))</f>
        <v>0</v>
      </c>
      <c r="J14" s="6" t="str">
        <f t="shared" si="1"/>
        <v>Entregue no prazo</v>
      </c>
      <c r="K14" s="10">
        <f t="shared" si="2"/>
        <v>45778</v>
      </c>
      <c r="L14" s="6"/>
      <c r="M14" s="6"/>
      <c r="N14" s="6"/>
      <c r="O14" s="6"/>
      <c r="P14" s="6"/>
      <c r="Q14" s="6"/>
      <c r="R14" s="6"/>
      <c r="S14" s="6"/>
      <c r="T14" s="6"/>
      <c r="U14" s="6"/>
      <c r="V14" s="6"/>
      <c r="W14" s="6"/>
      <c r="X14" s="6"/>
      <c r="Y14" s="6"/>
      <c r="Z14" s="6"/>
    </row>
    <row r="15">
      <c r="A15" s="2">
        <v>2014.0</v>
      </c>
      <c r="B15" s="15">
        <v>45792.0</v>
      </c>
      <c r="C15" s="2" t="s">
        <v>32</v>
      </c>
      <c r="D15" s="2" t="s">
        <v>13</v>
      </c>
      <c r="E15" s="2">
        <v>860.0</v>
      </c>
      <c r="F15" s="15">
        <v>45799.0</v>
      </c>
      <c r="G15" s="15">
        <v>45798.0</v>
      </c>
      <c r="H15" s="2" t="s">
        <v>28</v>
      </c>
      <c r="I15" s="9">
        <f>IF(H15="Cancelado","",IF(G15&lt;&gt;"",MAX(G15-F15,0),MAX(Listas!$A$2-F15,0)))</f>
        <v>0</v>
      </c>
      <c r="J15" s="6" t="str">
        <f t="shared" si="1"/>
        <v>Entregue no prazo</v>
      </c>
      <c r="K15" s="10">
        <f t="shared" si="2"/>
        <v>45778</v>
      </c>
      <c r="L15" s="6"/>
      <c r="M15" s="6"/>
      <c r="N15" s="6"/>
      <c r="O15" s="6"/>
      <c r="P15" s="6"/>
      <c r="Q15" s="6"/>
      <c r="R15" s="6"/>
      <c r="S15" s="6"/>
      <c r="T15" s="6"/>
      <c r="U15" s="6"/>
      <c r="V15" s="6"/>
      <c r="W15" s="6"/>
      <c r="X15" s="6"/>
      <c r="Y15" s="6"/>
      <c r="Z15" s="6"/>
    </row>
    <row r="16">
      <c r="A16" s="2">
        <v>2015.0</v>
      </c>
      <c r="B16" s="15">
        <v>45801.0</v>
      </c>
      <c r="C16" s="2" t="s">
        <v>35</v>
      </c>
      <c r="D16" s="2" t="s">
        <v>14</v>
      </c>
      <c r="E16" s="2">
        <v>1100.0</v>
      </c>
      <c r="F16" s="15">
        <v>45808.0</v>
      </c>
      <c r="G16" s="15">
        <v>45811.0</v>
      </c>
      <c r="H16" s="2" t="s">
        <v>28</v>
      </c>
      <c r="I16" s="9">
        <f>IF(H16="Cancelado","",IF(G16&lt;&gt;"",MAX(G16-F16,0),MAX(Listas!$A$2-F16,0)))</f>
        <v>3</v>
      </c>
      <c r="J16" s="6" t="str">
        <f t="shared" si="1"/>
        <v>Entregue com atraso</v>
      </c>
      <c r="K16" s="10">
        <f t="shared" si="2"/>
        <v>45778</v>
      </c>
      <c r="L16" s="6"/>
      <c r="M16" s="6"/>
      <c r="N16" s="6"/>
      <c r="O16" s="6"/>
      <c r="P16" s="6"/>
      <c r="Q16" s="6"/>
      <c r="R16" s="6"/>
      <c r="S16" s="6"/>
      <c r="T16" s="6"/>
      <c r="U16" s="6"/>
      <c r="V16" s="6"/>
      <c r="W16" s="6"/>
      <c r="X16" s="6"/>
      <c r="Y16" s="6"/>
      <c r="Z16" s="6"/>
    </row>
    <row r="17">
      <c r="A17" s="2">
        <v>2016.0</v>
      </c>
      <c r="B17" s="15">
        <v>45811.0</v>
      </c>
      <c r="C17" s="2" t="s">
        <v>38</v>
      </c>
      <c r="D17" s="2" t="s">
        <v>9</v>
      </c>
      <c r="E17" s="2">
        <v>1350.0</v>
      </c>
      <c r="F17" s="15">
        <v>45818.0</v>
      </c>
      <c r="G17" s="15">
        <v>45817.0</v>
      </c>
      <c r="H17" s="2" t="s">
        <v>28</v>
      </c>
      <c r="I17" s="9">
        <f>IF(H17="Cancelado","",IF(G17&lt;&gt;"",MAX(G17-F17,0),MAX(Listas!$A$2-F17,0)))</f>
        <v>0</v>
      </c>
      <c r="J17" s="6" t="str">
        <f t="shared" si="1"/>
        <v>Entregue no prazo</v>
      </c>
      <c r="K17" s="10">
        <f t="shared" si="2"/>
        <v>45809</v>
      </c>
      <c r="L17" s="6"/>
      <c r="M17" s="6"/>
      <c r="N17" s="6"/>
      <c r="O17" s="6"/>
      <c r="P17" s="6"/>
      <c r="Q17" s="6"/>
      <c r="R17" s="6"/>
      <c r="S17" s="6"/>
      <c r="T17" s="6"/>
      <c r="U17" s="6"/>
      <c r="V17" s="6"/>
      <c r="W17" s="6"/>
      <c r="X17" s="6"/>
      <c r="Y17" s="6"/>
      <c r="Z17" s="6"/>
    </row>
    <row r="18">
      <c r="A18" s="2">
        <v>2017.0</v>
      </c>
      <c r="B18" s="15">
        <v>45821.0</v>
      </c>
      <c r="C18" s="2" t="s">
        <v>40</v>
      </c>
      <c r="D18" s="2" t="s">
        <v>11</v>
      </c>
      <c r="E18" s="2">
        <v>470.0</v>
      </c>
      <c r="F18" s="15">
        <v>45828.0</v>
      </c>
      <c r="G18" s="15">
        <v>45830.0</v>
      </c>
      <c r="H18" s="2" t="s">
        <v>28</v>
      </c>
      <c r="I18" s="9">
        <f>IF(H18="Cancelado","",IF(G18&lt;&gt;"",MAX(G18-F18,0),MAX(Listas!$A$2-F18,0)))</f>
        <v>2</v>
      </c>
      <c r="J18" s="6" t="str">
        <f t="shared" si="1"/>
        <v>Entregue com atraso</v>
      </c>
      <c r="K18" s="10">
        <f t="shared" si="2"/>
        <v>45809</v>
      </c>
      <c r="L18" s="6"/>
      <c r="M18" s="6"/>
      <c r="N18" s="6"/>
      <c r="O18" s="6"/>
      <c r="P18" s="6"/>
      <c r="Q18" s="6"/>
      <c r="R18" s="6"/>
      <c r="S18" s="6"/>
      <c r="T18" s="6"/>
      <c r="U18" s="6"/>
      <c r="V18" s="6"/>
      <c r="W18" s="6"/>
      <c r="X18" s="6"/>
      <c r="Y18" s="6"/>
      <c r="Z18" s="6"/>
    </row>
    <row r="19">
      <c r="A19" s="2">
        <v>2018.0</v>
      </c>
      <c r="B19" s="15">
        <v>45831.0</v>
      </c>
      <c r="C19" s="2" t="s">
        <v>41</v>
      </c>
      <c r="D19" s="2" t="s">
        <v>12</v>
      </c>
      <c r="E19" s="2">
        <v>690.0</v>
      </c>
      <c r="F19" s="15">
        <v>45838.0</v>
      </c>
      <c r="G19" s="15">
        <v>45838.0</v>
      </c>
      <c r="H19" s="2" t="s">
        <v>28</v>
      </c>
      <c r="I19" s="9">
        <f>IF(H19="Cancelado","",IF(G19&lt;&gt;"",MAX(G19-F19,0),MAX(Listas!$A$2-F19,0)))</f>
        <v>0</v>
      </c>
      <c r="J19" s="6" t="str">
        <f t="shared" si="1"/>
        <v>Entregue no prazo</v>
      </c>
      <c r="K19" s="10">
        <f t="shared" si="2"/>
        <v>45809</v>
      </c>
      <c r="L19" s="6"/>
      <c r="M19" s="6"/>
      <c r="N19" s="6"/>
      <c r="O19" s="6"/>
      <c r="P19" s="6"/>
      <c r="Q19" s="6"/>
      <c r="R19" s="6"/>
      <c r="S19" s="6"/>
      <c r="T19" s="6"/>
      <c r="U19" s="6"/>
      <c r="V19" s="6"/>
      <c r="W19" s="6"/>
      <c r="X19" s="6"/>
      <c r="Y19" s="6"/>
      <c r="Z19" s="6"/>
    </row>
    <row r="20">
      <c r="A20" s="2">
        <v>2019.0</v>
      </c>
      <c r="B20" s="15">
        <v>45842.0</v>
      </c>
      <c r="C20" s="2" t="s">
        <v>42</v>
      </c>
      <c r="D20" s="2" t="s">
        <v>13</v>
      </c>
      <c r="E20" s="2">
        <v>980.0</v>
      </c>
      <c r="F20" s="15">
        <v>45849.0</v>
      </c>
      <c r="G20" s="15">
        <v>45848.0</v>
      </c>
      <c r="H20" s="2" t="s">
        <v>28</v>
      </c>
      <c r="I20" s="9">
        <f>IF(H20="Cancelado","",IF(G20&lt;&gt;"",MAX(G20-F20,0),MAX(Listas!$A$2-F20,0)))</f>
        <v>0</v>
      </c>
      <c r="J20" s="6" t="str">
        <f t="shared" si="1"/>
        <v>Entregue no prazo</v>
      </c>
      <c r="K20" s="10">
        <f t="shared" si="2"/>
        <v>45839</v>
      </c>
      <c r="L20" s="6"/>
      <c r="M20" s="6"/>
      <c r="N20" s="6"/>
      <c r="O20" s="6"/>
      <c r="P20" s="6"/>
      <c r="Q20" s="6"/>
      <c r="R20" s="6"/>
      <c r="S20" s="6"/>
      <c r="T20" s="6"/>
      <c r="U20" s="6"/>
      <c r="V20" s="6"/>
      <c r="W20" s="6"/>
      <c r="X20" s="6"/>
      <c r="Y20" s="6"/>
      <c r="Z20" s="6"/>
    </row>
    <row r="21">
      <c r="A21" s="2">
        <v>2020.0</v>
      </c>
      <c r="B21" s="15">
        <v>45852.0</v>
      </c>
      <c r="C21" s="2" t="s">
        <v>43</v>
      </c>
      <c r="D21" s="2" t="s">
        <v>14</v>
      </c>
      <c r="E21" s="2">
        <v>1250.0</v>
      </c>
      <c r="F21" s="15">
        <v>45859.0</v>
      </c>
      <c r="G21" s="15">
        <v>45862.0</v>
      </c>
      <c r="H21" s="2" t="s">
        <v>28</v>
      </c>
      <c r="I21" s="9">
        <f>IF(H21="Cancelado","",IF(G21&lt;&gt;"",MAX(G21-F21,0),MAX(Listas!$A$2-F21,0)))</f>
        <v>3</v>
      </c>
      <c r="J21" s="6" t="str">
        <f t="shared" si="1"/>
        <v>Entregue com atraso</v>
      </c>
      <c r="K21" s="10">
        <f t="shared" si="2"/>
        <v>45839</v>
      </c>
      <c r="L21" s="6"/>
      <c r="M21" s="6"/>
      <c r="N21" s="6"/>
      <c r="O21" s="6"/>
      <c r="P21" s="6"/>
      <c r="Q21" s="6"/>
      <c r="R21" s="6"/>
      <c r="S21" s="6"/>
      <c r="T21" s="6"/>
      <c r="U21" s="6"/>
      <c r="V21" s="6"/>
      <c r="W21" s="6"/>
      <c r="X21" s="6"/>
      <c r="Y21" s="6"/>
      <c r="Z21" s="6"/>
    </row>
    <row r="22">
      <c r="A22" s="2">
        <v>2021.0</v>
      </c>
      <c r="B22" s="15">
        <v>45862.0</v>
      </c>
      <c r="C22" s="2" t="s">
        <v>44</v>
      </c>
      <c r="D22" s="2" t="s">
        <v>9</v>
      </c>
      <c r="E22" s="2">
        <v>380.0</v>
      </c>
      <c r="F22" s="15">
        <v>45869.0</v>
      </c>
      <c r="G22" s="6"/>
      <c r="H22" s="2" t="s">
        <v>37</v>
      </c>
      <c r="I22" s="9" t="str">
        <f>IF(H22="Cancelado","",IF(G22&lt;&gt;"",MAX(G22-F22,0),MAX(Listas!$A$2-F22,0)))</f>
        <v/>
      </c>
      <c r="J22" s="6" t="str">
        <f t="shared" si="1"/>
        <v>Cancelado</v>
      </c>
      <c r="K22" s="10">
        <f t="shared" si="2"/>
        <v>45839</v>
      </c>
      <c r="L22" s="6"/>
      <c r="M22" s="6"/>
      <c r="N22" s="6"/>
      <c r="O22" s="6"/>
      <c r="P22" s="6"/>
      <c r="Q22" s="6"/>
      <c r="R22" s="6"/>
      <c r="S22" s="6"/>
      <c r="T22" s="6"/>
      <c r="U22" s="6"/>
      <c r="V22" s="6"/>
      <c r="W22" s="6"/>
      <c r="X22" s="6"/>
      <c r="Y22" s="6"/>
      <c r="Z22" s="6"/>
    </row>
    <row r="23">
      <c r="A23" s="2">
        <v>2022.0</v>
      </c>
      <c r="B23" s="15">
        <v>45874.0</v>
      </c>
      <c r="C23" s="2" t="s">
        <v>45</v>
      </c>
      <c r="D23" s="2" t="s">
        <v>11</v>
      </c>
      <c r="E23" s="2">
        <v>1600.0</v>
      </c>
      <c r="F23" s="15">
        <v>45881.0</v>
      </c>
      <c r="G23" s="15">
        <v>45881.0</v>
      </c>
      <c r="H23" s="2" t="s">
        <v>28</v>
      </c>
      <c r="I23" s="9">
        <f>IF(H23="Cancelado","",IF(G23&lt;&gt;"",MAX(G23-F23,0),MAX(Listas!$A$2-F23,0)))</f>
        <v>0</v>
      </c>
      <c r="J23" s="6" t="str">
        <f t="shared" si="1"/>
        <v>Entregue no prazo</v>
      </c>
      <c r="K23" s="10">
        <f t="shared" si="2"/>
        <v>45870</v>
      </c>
      <c r="L23" s="6"/>
      <c r="M23" s="6"/>
      <c r="N23" s="6"/>
      <c r="O23" s="6"/>
      <c r="P23" s="6"/>
      <c r="Q23" s="6"/>
      <c r="R23" s="6"/>
      <c r="S23" s="6"/>
      <c r="T23" s="6"/>
      <c r="U23" s="6"/>
      <c r="V23" s="6"/>
      <c r="W23" s="6"/>
      <c r="X23" s="6"/>
      <c r="Y23" s="6"/>
      <c r="Z23" s="6"/>
    </row>
    <row r="24">
      <c r="A24" s="2">
        <v>2023.0</v>
      </c>
      <c r="B24" s="15">
        <v>45884.0</v>
      </c>
      <c r="C24" s="2" t="s">
        <v>46</v>
      </c>
      <c r="D24" s="2" t="s">
        <v>12</v>
      </c>
      <c r="E24" s="2">
        <v>820.0</v>
      </c>
      <c r="F24" s="15">
        <v>45891.0</v>
      </c>
      <c r="G24" s="15">
        <v>45890.0</v>
      </c>
      <c r="H24" s="2" t="s">
        <v>28</v>
      </c>
      <c r="I24" s="9">
        <f>IF(H24="Cancelado","",IF(G24&lt;&gt;"",MAX(G24-F24,0),MAX(Listas!$A$2-F24,0)))</f>
        <v>0</v>
      </c>
      <c r="J24" s="6" t="str">
        <f t="shared" si="1"/>
        <v>Entregue no prazo</v>
      </c>
      <c r="K24" s="10">
        <f t="shared" si="2"/>
        <v>45870</v>
      </c>
      <c r="L24" s="6"/>
      <c r="M24" s="6"/>
      <c r="N24" s="6"/>
      <c r="O24" s="6"/>
      <c r="P24" s="6"/>
      <c r="Q24" s="6"/>
      <c r="R24" s="6"/>
      <c r="S24" s="6"/>
      <c r="T24" s="6"/>
      <c r="U24" s="6"/>
      <c r="V24" s="6"/>
      <c r="W24" s="6"/>
      <c r="X24" s="6"/>
      <c r="Y24" s="6"/>
      <c r="Z24" s="6"/>
    </row>
    <row r="25">
      <c r="A25" s="2">
        <v>2024.0</v>
      </c>
      <c r="B25" s="15">
        <v>45893.0</v>
      </c>
      <c r="C25" s="2" t="s">
        <v>47</v>
      </c>
      <c r="D25" s="2" t="s">
        <v>13</v>
      </c>
      <c r="E25" s="2">
        <v>590.0</v>
      </c>
      <c r="F25" s="15">
        <v>45900.0</v>
      </c>
      <c r="G25" s="15">
        <v>45902.0</v>
      </c>
      <c r="H25" s="2" t="s">
        <v>28</v>
      </c>
      <c r="I25" s="9">
        <f>IF(H25="Cancelado","",IF(G25&lt;&gt;"",MAX(G25-F25,0),MAX(Listas!$A$2-F25,0)))</f>
        <v>2</v>
      </c>
      <c r="J25" s="6" t="str">
        <f t="shared" si="1"/>
        <v>Entregue com atraso</v>
      </c>
      <c r="K25" s="10">
        <f t="shared" si="2"/>
        <v>45870</v>
      </c>
      <c r="L25" s="6"/>
      <c r="M25" s="6"/>
      <c r="N25" s="6"/>
      <c r="O25" s="6"/>
      <c r="P25" s="6"/>
      <c r="Q25" s="6"/>
      <c r="R25" s="6"/>
      <c r="S25" s="6"/>
      <c r="T25" s="6"/>
      <c r="U25" s="6"/>
      <c r="V25" s="6"/>
      <c r="W25" s="6"/>
      <c r="X25" s="6"/>
      <c r="Y25" s="6"/>
      <c r="Z25" s="6"/>
    </row>
    <row r="26">
      <c r="A26" s="2">
        <v>2025.0</v>
      </c>
      <c r="B26" s="15">
        <v>45903.0</v>
      </c>
      <c r="C26" s="2" t="s">
        <v>26</v>
      </c>
      <c r="D26" s="2" t="s">
        <v>14</v>
      </c>
      <c r="E26" s="2">
        <v>710.0</v>
      </c>
      <c r="F26" s="15">
        <v>45910.0</v>
      </c>
      <c r="G26" s="15">
        <v>45909.0</v>
      </c>
      <c r="H26" s="2" t="s">
        <v>28</v>
      </c>
      <c r="I26" s="9">
        <f>IF(H26="Cancelado","",IF(G26&lt;&gt;"",MAX(G26-F26,0),MAX(Listas!$A$2-F26,0)))</f>
        <v>0</v>
      </c>
      <c r="J26" s="6" t="str">
        <f t="shared" si="1"/>
        <v>Entregue no prazo</v>
      </c>
      <c r="K26" s="10">
        <f t="shared" si="2"/>
        <v>45901</v>
      </c>
      <c r="L26" s="6"/>
      <c r="M26" s="6"/>
      <c r="N26" s="6"/>
      <c r="O26" s="6"/>
      <c r="P26" s="6"/>
      <c r="Q26" s="6"/>
      <c r="R26" s="6"/>
      <c r="S26" s="6"/>
      <c r="T26" s="6"/>
      <c r="U26" s="6"/>
      <c r="V26" s="6"/>
      <c r="W26" s="6"/>
      <c r="X26" s="6"/>
      <c r="Y26" s="6"/>
      <c r="Z26" s="6"/>
    </row>
    <row r="27">
      <c r="A27" s="2">
        <v>2026.0</v>
      </c>
      <c r="B27" s="15">
        <v>45913.0</v>
      </c>
      <c r="C27" s="2" t="s">
        <v>32</v>
      </c>
      <c r="D27" s="2" t="s">
        <v>9</v>
      </c>
      <c r="E27" s="2">
        <v>1450.0</v>
      </c>
      <c r="F27" s="15">
        <v>45920.0</v>
      </c>
      <c r="G27" s="15">
        <v>45923.0</v>
      </c>
      <c r="H27" s="2" t="s">
        <v>28</v>
      </c>
      <c r="I27" s="9">
        <f>IF(H27="Cancelado","",IF(G27&lt;&gt;"",MAX(G27-F27,0),MAX(Listas!$A$2-F27,0)))</f>
        <v>3</v>
      </c>
      <c r="J27" s="6" t="str">
        <f t="shared" si="1"/>
        <v>Entregue com atraso</v>
      </c>
      <c r="K27" s="10">
        <f t="shared" si="2"/>
        <v>45901</v>
      </c>
      <c r="L27" s="6"/>
      <c r="M27" s="6"/>
      <c r="N27" s="6"/>
      <c r="O27" s="6"/>
      <c r="P27" s="6"/>
      <c r="Q27" s="6"/>
      <c r="R27" s="6"/>
      <c r="S27" s="6"/>
      <c r="T27" s="6"/>
      <c r="U27" s="6"/>
      <c r="V27" s="6"/>
      <c r="W27" s="6"/>
      <c r="X27" s="6"/>
      <c r="Y27" s="6"/>
      <c r="Z27" s="6"/>
    </row>
    <row r="28">
      <c r="A28" s="2">
        <v>2027.0</v>
      </c>
      <c r="B28" s="15">
        <v>45923.0</v>
      </c>
      <c r="C28" s="2" t="s">
        <v>35</v>
      </c>
      <c r="D28" s="2" t="s">
        <v>11</v>
      </c>
      <c r="E28" s="2">
        <v>930.0</v>
      </c>
      <c r="F28" s="15">
        <v>45930.0</v>
      </c>
      <c r="G28" s="15">
        <v>45930.0</v>
      </c>
      <c r="H28" s="2" t="s">
        <v>28</v>
      </c>
      <c r="I28" s="9">
        <f>IF(H28="Cancelado","",IF(G28&lt;&gt;"",MAX(G28-F28,0),MAX(Listas!$A$2-F28,0)))</f>
        <v>0</v>
      </c>
      <c r="J28" s="6" t="str">
        <f t="shared" si="1"/>
        <v>Entregue no prazo</v>
      </c>
      <c r="K28" s="10">
        <f t="shared" si="2"/>
        <v>45901</v>
      </c>
      <c r="L28" s="6"/>
      <c r="M28" s="6"/>
      <c r="N28" s="6"/>
      <c r="O28" s="6"/>
      <c r="P28" s="6"/>
      <c r="Q28" s="6"/>
      <c r="R28" s="6"/>
      <c r="S28" s="6"/>
      <c r="T28" s="6"/>
      <c r="U28" s="6"/>
      <c r="V28" s="6"/>
      <c r="W28" s="6"/>
      <c r="X28" s="6"/>
      <c r="Y28" s="6"/>
      <c r="Z28" s="6"/>
    </row>
    <row r="29">
      <c r="A29" s="2">
        <v>2028.0</v>
      </c>
      <c r="B29" s="15">
        <v>45934.0</v>
      </c>
      <c r="C29" s="2" t="s">
        <v>38</v>
      </c>
      <c r="D29" s="2" t="s">
        <v>12</v>
      </c>
      <c r="E29" s="2">
        <v>1180.0</v>
      </c>
      <c r="F29" s="20">
        <v>45941.0</v>
      </c>
      <c r="G29" s="20">
        <v>45940.0</v>
      </c>
      <c r="H29" s="2" t="s">
        <v>28</v>
      </c>
      <c r="I29" s="9">
        <f>IF(H29="Cancelado","",IF(G29&lt;&gt;"",MAX(G29-F29,0),MAX(Listas!$A$2-F29,0)))</f>
        <v>0</v>
      </c>
      <c r="J29" s="6" t="str">
        <f t="shared" si="1"/>
        <v>Entregue no prazo</v>
      </c>
      <c r="K29" s="10">
        <f t="shared" si="2"/>
        <v>45931</v>
      </c>
      <c r="L29" s="6"/>
      <c r="M29" s="6"/>
      <c r="N29" s="6"/>
      <c r="O29" s="6"/>
      <c r="P29" s="6"/>
      <c r="Q29" s="6"/>
      <c r="R29" s="6"/>
      <c r="S29" s="6"/>
      <c r="T29" s="6"/>
      <c r="U29" s="6"/>
      <c r="V29" s="6"/>
      <c r="W29" s="6"/>
      <c r="X29" s="6"/>
      <c r="Y29" s="6"/>
      <c r="Z29" s="6"/>
    </row>
    <row r="30">
      <c r="A30" s="2">
        <v>2029.0</v>
      </c>
      <c r="B30" s="20">
        <v>45944.0</v>
      </c>
      <c r="C30" s="2" t="s">
        <v>40</v>
      </c>
      <c r="D30" s="2" t="s">
        <v>13</v>
      </c>
      <c r="E30" s="2">
        <v>640.0</v>
      </c>
      <c r="F30" s="20">
        <v>45951.0</v>
      </c>
      <c r="G30" s="20">
        <v>45953.0</v>
      </c>
      <c r="H30" s="2" t="s">
        <v>28</v>
      </c>
      <c r="I30" s="9">
        <f>IF(H30="Cancelado","",IF(G30&lt;&gt;"",MAX(G30-F30,0),MAX(Listas!$A$2-F30,0)))</f>
        <v>2</v>
      </c>
      <c r="J30" s="6" t="str">
        <f t="shared" si="1"/>
        <v>Entregue com atraso</v>
      </c>
      <c r="K30" s="10">
        <f t="shared" si="2"/>
        <v>45931</v>
      </c>
      <c r="L30" s="6"/>
      <c r="M30" s="6"/>
      <c r="N30" s="6"/>
      <c r="O30" s="6"/>
      <c r="P30" s="6"/>
      <c r="Q30" s="6"/>
      <c r="R30" s="6"/>
      <c r="S30" s="6"/>
      <c r="T30" s="6"/>
      <c r="U30" s="6"/>
      <c r="V30" s="6"/>
      <c r="W30" s="6"/>
      <c r="X30" s="6"/>
      <c r="Y30" s="6"/>
      <c r="Z30" s="6"/>
    </row>
    <row r="31">
      <c r="A31" s="2">
        <v>2030.0</v>
      </c>
      <c r="B31" s="20">
        <v>45954.0</v>
      </c>
      <c r="C31" s="2" t="s">
        <v>41</v>
      </c>
      <c r="D31" s="2" t="s">
        <v>14</v>
      </c>
      <c r="E31" s="2">
        <v>870.0</v>
      </c>
      <c r="F31" s="20">
        <v>45961.0</v>
      </c>
      <c r="G31" s="6"/>
      <c r="H31" s="2" t="s">
        <v>37</v>
      </c>
      <c r="I31" s="9" t="str">
        <f>IF(H31="Cancelado","",IF(G31&lt;&gt;"",MAX(G31-F31,0),MAX(Listas!$A$2-F31,0)))</f>
        <v/>
      </c>
      <c r="J31" s="6" t="str">
        <f t="shared" si="1"/>
        <v>Cancelado</v>
      </c>
      <c r="K31" s="10">
        <f t="shared" si="2"/>
        <v>45931</v>
      </c>
      <c r="L31" s="6"/>
      <c r="M31" s="6"/>
      <c r="N31" s="6"/>
      <c r="O31" s="6"/>
      <c r="P31" s="6"/>
      <c r="Q31" s="6"/>
      <c r="R31" s="6"/>
      <c r="S31" s="6"/>
      <c r="T31" s="6"/>
      <c r="U31" s="6"/>
      <c r="V31" s="6"/>
      <c r="W31" s="6"/>
      <c r="X31" s="6"/>
      <c r="Y31" s="6"/>
      <c r="Z31" s="6"/>
    </row>
    <row r="32">
      <c r="A32" s="2">
        <v>2031.0</v>
      </c>
      <c r="B32" s="15">
        <v>45966.0</v>
      </c>
      <c r="C32" s="2" t="s">
        <v>42</v>
      </c>
      <c r="D32" s="2" t="s">
        <v>9</v>
      </c>
      <c r="E32" s="2">
        <v>1720.0</v>
      </c>
      <c r="F32" s="20">
        <v>45973.0</v>
      </c>
      <c r="G32" s="20">
        <v>45973.0</v>
      </c>
      <c r="H32" s="2" t="s">
        <v>28</v>
      </c>
      <c r="I32" s="9">
        <f>IF(H32="Cancelado","",IF(G32&lt;&gt;"",MAX(G32-F32,0),MAX(Listas!$A$2-F32,0)))</f>
        <v>0</v>
      </c>
      <c r="J32" s="6" t="str">
        <f t="shared" si="1"/>
        <v>Entregue no prazo</v>
      </c>
      <c r="K32" s="10">
        <f t="shared" si="2"/>
        <v>45962</v>
      </c>
      <c r="L32" s="6"/>
      <c r="M32" s="6"/>
      <c r="N32" s="6"/>
      <c r="O32" s="6"/>
      <c r="P32" s="6"/>
      <c r="Q32" s="6"/>
      <c r="R32" s="6"/>
      <c r="S32" s="6"/>
      <c r="T32" s="6"/>
      <c r="U32" s="6"/>
      <c r="V32" s="6"/>
      <c r="W32" s="6"/>
      <c r="X32" s="6"/>
      <c r="Y32" s="6"/>
      <c r="Z32" s="6"/>
    </row>
    <row r="33">
      <c r="A33" s="2">
        <v>2032.0</v>
      </c>
      <c r="B33" s="20">
        <v>45976.0</v>
      </c>
      <c r="C33" s="2" t="s">
        <v>43</v>
      </c>
      <c r="D33" s="2" t="s">
        <v>11</v>
      </c>
      <c r="E33" s="2">
        <v>1050.0</v>
      </c>
      <c r="F33" s="20">
        <v>45983.0</v>
      </c>
      <c r="G33" s="20">
        <v>45986.0</v>
      </c>
      <c r="H33" s="2" t="s">
        <v>28</v>
      </c>
      <c r="I33" s="9">
        <f>IF(H33="Cancelado","",IF(G33&lt;&gt;"",MAX(G33-F33,0),MAX(Listas!$A$2-F33,0)))</f>
        <v>3</v>
      </c>
      <c r="J33" s="6" t="str">
        <f t="shared" si="1"/>
        <v>Entregue com atraso</v>
      </c>
      <c r="K33" s="10">
        <f t="shared" si="2"/>
        <v>45962</v>
      </c>
      <c r="L33" s="6"/>
      <c r="M33" s="6"/>
      <c r="N33" s="6"/>
      <c r="O33" s="6"/>
      <c r="P33" s="6"/>
      <c r="Q33" s="6"/>
      <c r="R33" s="6"/>
      <c r="S33" s="6"/>
      <c r="T33" s="6"/>
      <c r="U33" s="6"/>
      <c r="V33" s="6"/>
      <c r="W33" s="6"/>
      <c r="X33" s="6"/>
      <c r="Y33" s="6"/>
      <c r="Z33" s="6"/>
    </row>
    <row r="34">
      <c r="A34" s="2">
        <v>2033.0</v>
      </c>
      <c r="B34" s="20">
        <v>45984.0</v>
      </c>
      <c r="C34" s="2" t="s">
        <v>44</v>
      </c>
      <c r="D34" s="2" t="s">
        <v>12</v>
      </c>
      <c r="E34" s="2">
        <v>760.0</v>
      </c>
      <c r="F34" s="20">
        <v>45991.0</v>
      </c>
      <c r="G34" s="20">
        <v>45990.0</v>
      </c>
      <c r="H34" s="2" t="s">
        <v>28</v>
      </c>
      <c r="I34" s="9">
        <f>IF(H34="Cancelado","",IF(G34&lt;&gt;"",MAX(G34-F34,0),MAX(Listas!$A$2-F34,0)))</f>
        <v>0</v>
      </c>
      <c r="J34" s="6" t="str">
        <f t="shared" si="1"/>
        <v>Entregue no prazo</v>
      </c>
      <c r="K34" s="10">
        <f t="shared" si="2"/>
        <v>45962</v>
      </c>
      <c r="L34" s="6"/>
      <c r="M34" s="6"/>
      <c r="N34" s="6"/>
      <c r="O34" s="6"/>
      <c r="P34" s="6"/>
      <c r="Q34" s="6"/>
      <c r="R34" s="6"/>
      <c r="S34" s="6"/>
      <c r="T34" s="6"/>
      <c r="U34" s="6"/>
      <c r="V34" s="6"/>
      <c r="W34" s="6"/>
      <c r="X34" s="6"/>
      <c r="Y34" s="6"/>
      <c r="Z34" s="6"/>
    </row>
    <row r="35">
      <c r="A35" s="2">
        <v>2034.0</v>
      </c>
      <c r="B35" s="20">
        <v>46001.0</v>
      </c>
      <c r="C35" s="2" t="s">
        <v>45</v>
      </c>
      <c r="D35" s="2" t="s">
        <v>13</v>
      </c>
      <c r="E35" s="2">
        <v>1900.0</v>
      </c>
      <c r="F35" s="20">
        <v>46008.0</v>
      </c>
      <c r="G35" s="6"/>
      <c r="H35" s="2" t="s">
        <v>68</v>
      </c>
      <c r="I35" s="9">
        <f>IF(H35="Cancelado","",IF(G35&lt;&gt;"",MAX(G35-F35,0),MAX(Listas!$A$2-F35,0)))</f>
        <v>14</v>
      </c>
      <c r="J35" s="6" t="str">
        <f t="shared" si="1"/>
        <v>Pendente em atraso</v>
      </c>
      <c r="K35" s="10">
        <f t="shared" si="2"/>
        <v>45992</v>
      </c>
      <c r="L35" s="6"/>
      <c r="M35" s="6"/>
      <c r="N35" s="6"/>
      <c r="O35" s="6"/>
      <c r="P35" s="6"/>
      <c r="Q35" s="6"/>
      <c r="R35" s="6"/>
      <c r="S35" s="6"/>
      <c r="T35" s="6"/>
      <c r="U35" s="6"/>
      <c r="V35" s="6"/>
      <c r="W35" s="6"/>
      <c r="X35" s="6"/>
      <c r="Y35" s="6"/>
      <c r="Z35" s="6"/>
    </row>
    <row r="36">
      <c r="A36" s="2">
        <v>2035.0</v>
      </c>
      <c r="B36" s="20">
        <v>46009.0</v>
      </c>
      <c r="C36" s="2" t="s">
        <v>46</v>
      </c>
      <c r="D36" s="2" t="s">
        <v>14</v>
      </c>
      <c r="E36" s="2">
        <v>1320.0</v>
      </c>
      <c r="F36" s="20">
        <v>46017.0</v>
      </c>
      <c r="G36" s="6"/>
      <c r="H36" s="2" t="s">
        <v>68</v>
      </c>
      <c r="I36" s="9">
        <f>IF(H36="Cancelado","",IF(G36&lt;&gt;"",MAX(G36-F36,0),MAX(Listas!$A$2-F36,0)))</f>
        <v>5</v>
      </c>
      <c r="J36" s="6" t="str">
        <f t="shared" si="1"/>
        <v>Pendente em atraso</v>
      </c>
      <c r="K36" s="10">
        <f t="shared" si="2"/>
        <v>45992</v>
      </c>
      <c r="L36" s="6"/>
      <c r="M36" s="6"/>
      <c r="N36" s="6"/>
      <c r="O36" s="6"/>
      <c r="P36" s="6"/>
      <c r="Q36" s="6"/>
      <c r="R36" s="6"/>
      <c r="S36" s="6"/>
      <c r="T36" s="6"/>
      <c r="U36" s="6"/>
      <c r="V36" s="6"/>
      <c r="W36" s="6"/>
      <c r="X36" s="6"/>
      <c r="Y36" s="6"/>
      <c r="Z36" s="6"/>
    </row>
    <row r="37">
      <c r="A37" s="2">
        <v>2036.0</v>
      </c>
      <c r="B37" s="20">
        <v>46018.0</v>
      </c>
      <c r="C37" s="2" t="s">
        <v>47</v>
      </c>
      <c r="D37" s="2" t="s">
        <v>9</v>
      </c>
      <c r="E37" s="2">
        <v>990.0</v>
      </c>
      <c r="F37" s="15">
        <v>46027.0</v>
      </c>
      <c r="G37" s="6"/>
      <c r="H37" s="2" t="s">
        <v>94</v>
      </c>
      <c r="I37" s="9">
        <f>IF(H37="Cancelado","",IF(G37&lt;&gt;"",MAX(G37-F37,0),MAX(Listas!$A$2-F37,0)))</f>
        <v>0</v>
      </c>
      <c r="J37" s="6" t="str">
        <f t="shared" si="1"/>
        <v>Pendente no prazo</v>
      </c>
      <c r="K37" s="10">
        <f t="shared" si="2"/>
        <v>45992</v>
      </c>
      <c r="L37" s="6"/>
      <c r="M37" s="6"/>
      <c r="N37" s="6"/>
      <c r="O37" s="6"/>
      <c r="P37" s="6"/>
      <c r="Q37" s="6"/>
      <c r="R37" s="6"/>
      <c r="S37" s="6"/>
      <c r="T37" s="6"/>
      <c r="U37" s="6"/>
      <c r="V37" s="6"/>
      <c r="W37" s="6"/>
      <c r="X37" s="6"/>
      <c r="Y37" s="6"/>
      <c r="Z37" s="6"/>
    </row>
    <row r="38">
      <c r="A38" s="6"/>
      <c r="B38" s="6"/>
      <c r="C38" s="6"/>
      <c r="D38" s="6"/>
      <c r="E38" s="6"/>
      <c r="F38" s="6"/>
      <c r="G38" s="6"/>
      <c r="H38" s="6"/>
      <c r="I38" s="9"/>
      <c r="J38" s="6"/>
      <c r="K38" s="6"/>
      <c r="L38" s="6"/>
      <c r="M38" s="6"/>
      <c r="N38" s="6"/>
      <c r="O38" s="6"/>
      <c r="P38" s="6"/>
      <c r="Q38" s="6"/>
      <c r="R38" s="6"/>
      <c r="S38" s="6"/>
      <c r="T38" s="6"/>
      <c r="U38" s="6"/>
      <c r="V38" s="6"/>
      <c r="W38" s="6"/>
      <c r="X38" s="6"/>
      <c r="Y38" s="6"/>
      <c r="Z38" s="6"/>
    </row>
    <row r="39">
      <c r="A39" s="6"/>
      <c r="B39" s="6"/>
      <c r="C39" s="6"/>
      <c r="D39" s="6"/>
      <c r="E39" s="6"/>
      <c r="F39" s="6"/>
      <c r="G39" s="6"/>
      <c r="H39" s="6"/>
      <c r="I39" s="9"/>
      <c r="J39" s="6"/>
      <c r="K39" s="6"/>
      <c r="L39" s="6"/>
      <c r="M39" s="6"/>
      <c r="N39" s="6"/>
      <c r="O39" s="6"/>
      <c r="P39" s="6"/>
      <c r="Q39" s="6"/>
      <c r="R39" s="6"/>
      <c r="S39" s="6"/>
      <c r="T39" s="6"/>
      <c r="U39" s="6"/>
      <c r="V39" s="6"/>
      <c r="W39" s="6"/>
      <c r="X39" s="6"/>
      <c r="Y39" s="6"/>
      <c r="Z39" s="6"/>
    </row>
    <row r="40">
      <c r="A40" s="6"/>
      <c r="B40" s="6"/>
      <c r="C40" s="6"/>
      <c r="D40" s="6"/>
      <c r="E40" s="6"/>
      <c r="F40" s="6"/>
      <c r="G40" s="6"/>
      <c r="H40" s="6"/>
      <c r="I40" s="9"/>
      <c r="J40" s="6"/>
      <c r="K40" s="6"/>
      <c r="L40" s="6"/>
      <c r="M40" s="6"/>
      <c r="N40" s="6"/>
      <c r="O40" s="6"/>
      <c r="P40" s="6"/>
      <c r="Q40" s="6"/>
      <c r="R40" s="6"/>
      <c r="S40" s="6"/>
      <c r="T40" s="6"/>
      <c r="U40" s="6"/>
      <c r="V40" s="6"/>
      <c r="W40" s="6"/>
      <c r="X40" s="6"/>
      <c r="Y40" s="6"/>
      <c r="Z40" s="6"/>
    </row>
    <row r="41">
      <c r="A41" s="6"/>
      <c r="B41" s="6"/>
      <c r="C41" s="6"/>
      <c r="D41" s="6"/>
      <c r="E41" s="6"/>
      <c r="F41" s="6"/>
      <c r="G41" s="6"/>
      <c r="H41" s="6"/>
      <c r="I41" s="9"/>
      <c r="J41" s="6"/>
      <c r="K41" s="6"/>
      <c r="L41" s="6"/>
      <c r="M41" s="6"/>
      <c r="N41" s="6"/>
      <c r="O41" s="6"/>
      <c r="P41" s="6"/>
      <c r="Q41" s="6"/>
      <c r="R41" s="6"/>
      <c r="S41" s="6"/>
      <c r="T41" s="6"/>
      <c r="U41" s="6"/>
      <c r="V41" s="6"/>
      <c r="W41" s="6"/>
      <c r="X41" s="6"/>
      <c r="Y41" s="6"/>
      <c r="Z41" s="6"/>
    </row>
    <row r="42">
      <c r="A42" s="6"/>
      <c r="B42" s="6"/>
      <c r="C42" s="6"/>
      <c r="D42" s="6"/>
      <c r="E42" s="6"/>
      <c r="F42" s="6"/>
      <c r="G42" s="6"/>
      <c r="H42" s="6"/>
      <c r="I42" s="9"/>
      <c r="J42" s="6"/>
      <c r="K42" s="6"/>
      <c r="L42" s="6"/>
      <c r="M42" s="6"/>
      <c r="N42" s="6"/>
      <c r="O42" s="6"/>
      <c r="P42" s="6"/>
      <c r="Q42" s="6"/>
      <c r="R42" s="6"/>
      <c r="S42" s="6"/>
      <c r="T42" s="6"/>
      <c r="U42" s="6"/>
      <c r="V42" s="6"/>
      <c r="W42" s="6"/>
      <c r="X42" s="6"/>
      <c r="Y42" s="6"/>
      <c r="Z42" s="6"/>
    </row>
    <row r="43">
      <c r="A43" s="6"/>
      <c r="B43" s="6"/>
      <c r="C43" s="6"/>
      <c r="D43" s="6"/>
      <c r="E43" s="6"/>
      <c r="F43" s="6"/>
      <c r="G43" s="6"/>
      <c r="H43" s="6"/>
      <c r="I43" s="9"/>
      <c r="J43" s="6"/>
      <c r="K43" s="6"/>
      <c r="L43" s="6"/>
      <c r="M43" s="6"/>
      <c r="N43" s="6"/>
      <c r="O43" s="6"/>
      <c r="P43" s="6"/>
      <c r="Q43" s="6"/>
      <c r="R43" s="6"/>
      <c r="S43" s="6"/>
      <c r="T43" s="6"/>
      <c r="U43" s="6"/>
      <c r="V43" s="6"/>
      <c r="W43" s="6"/>
      <c r="X43" s="6"/>
      <c r="Y43" s="6"/>
      <c r="Z43" s="6"/>
    </row>
    <row r="44">
      <c r="A44" s="6"/>
      <c r="B44" s="6"/>
      <c r="C44" s="6"/>
      <c r="D44" s="6"/>
      <c r="E44" s="6"/>
      <c r="F44" s="6"/>
      <c r="G44" s="6"/>
      <c r="H44" s="6"/>
      <c r="I44" s="9"/>
      <c r="J44" s="6"/>
      <c r="K44" s="6"/>
      <c r="L44" s="6"/>
      <c r="M44" s="6"/>
      <c r="N44" s="6"/>
      <c r="O44" s="6"/>
      <c r="P44" s="6"/>
      <c r="Q44" s="6"/>
      <c r="R44" s="6"/>
      <c r="S44" s="6"/>
      <c r="T44" s="6"/>
      <c r="U44" s="6"/>
      <c r="V44" s="6"/>
      <c r="W44" s="6"/>
      <c r="X44" s="6"/>
      <c r="Y44" s="6"/>
      <c r="Z44" s="6"/>
    </row>
    <row r="45">
      <c r="A45" s="6"/>
      <c r="B45" s="6"/>
      <c r="C45" s="6"/>
      <c r="D45" s="6"/>
      <c r="E45" s="6"/>
      <c r="F45" s="6"/>
      <c r="G45" s="6"/>
      <c r="H45" s="6"/>
      <c r="I45" s="9"/>
      <c r="J45" s="6"/>
      <c r="K45" s="6"/>
      <c r="L45" s="6"/>
      <c r="M45" s="6"/>
      <c r="N45" s="6"/>
      <c r="O45" s="6"/>
      <c r="P45" s="6"/>
      <c r="Q45" s="6"/>
      <c r="R45" s="6"/>
      <c r="S45" s="6"/>
      <c r="T45" s="6"/>
      <c r="U45" s="6"/>
      <c r="V45" s="6"/>
      <c r="W45" s="6"/>
      <c r="X45" s="6"/>
      <c r="Y45" s="6"/>
      <c r="Z45" s="6"/>
    </row>
    <row r="46">
      <c r="A46" s="6"/>
      <c r="B46" s="6"/>
      <c r="C46" s="6"/>
      <c r="D46" s="6"/>
      <c r="E46" s="6"/>
      <c r="F46" s="6"/>
      <c r="G46" s="6"/>
      <c r="H46" s="6"/>
      <c r="I46" s="9"/>
      <c r="J46" s="6"/>
      <c r="K46" s="6"/>
      <c r="L46" s="6"/>
      <c r="M46" s="6"/>
      <c r="N46" s="6"/>
      <c r="O46" s="6"/>
      <c r="P46" s="6"/>
      <c r="Q46" s="6"/>
      <c r="R46" s="6"/>
      <c r="S46" s="6"/>
      <c r="T46" s="6"/>
      <c r="U46" s="6"/>
      <c r="V46" s="6"/>
      <c r="W46" s="6"/>
      <c r="X46" s="6"/>
      <c r="Y46" s="6"/>
      <c r="Z46" s="6"/>
    </row>
    <row r="47">
      <c r="A47" s="6"/>
      <c r="B47" s="6"/>
      <c r="C47" s="6"/>
      <c r="D47" s="6"/>
      <c r="E47" s="6"/>
      <c r="F47" s="6"/>
      <c r="G47" s="6"/>
      <c r="H47" s="6"/>
      <c r="I47" s="9"/>
      <c r="J47" s="6"/>
      <c r="K47" s="6"/>
      <c r="L47" s="6"/>
      <c r="M47" s="6"/>
      <c r="N47" s="6"/>
      <c r="O47" s="6"/>
      <c r="P47" s="6"/>
      <c r="Q47" s="6"/>
      <c r="R47" s="6"/>
      <c r="S47" s="6"/>
      <c r="T47" s="6"/>
      <c r="U47" s="6"/>
      <c r="V47" s="6"/>
      <c r="W47" s="6"/>
      <c r="X47" s="6"/>
      <c r="Y47" s="6"/>
      <c r="Z47" s="6"/>
    </row>
    <row r="48">
      <c r="A48" s="6"/>
      <c r="B48" s="6"/>
      <c r="C48" s="6"/>
      <c r="D48" s="6"/>
      <c r="E48" s="6"/>
      <c r="F48" s="6"/>
      <c r="G48" s="6"/>
      <c r="H48" s="6"/>
      <c r="I48" s="9"/>
      <c r="J48" s="6"/>
      <c r="K48" s="6"/>
      <c r="L48" s="6"/>
      <c r="M48" s="6"/>
      <c r="N48" s="6"/>
      <c r="O48" s="6"/>
      <c r="P48" s="6"/>
      <c r="Q48" s="6"/>
      <c r="R48" s="6"/>
      <c r="S48" s="6"/>
      <c r="T48" s="6"/>
      <c r="U48" s="6"/>
      <c r="V48" s="6"/>
      <c r="W48" s="6"/>
      <c r="X48" s="6"/>
      <c r="Y48" s="6"/>
      <c r="Z48" s="6"/>
    </row>
    <row r="49">
      <c r="A49" s="6"/>
      <c r="B49" s="6"/>
      <c r="C49" s="6"/>
      <c r="D49" s="6"/>
      <c r="E49" s="6"/>
      <c r="F49" s="6"/>
      <c r="G49" s="6"/>
      <c r="H49" s="6"/>
      <c r="I49" s="9"/>
      <c r="J49" s="6"/>
      <c r="K49" s="6"/>
      <c r="L49" s="6"/>
      <c r="M49" s="6"/>
      <c r="N49" s="6"/>
      <c r="O49" s="6"/>
      <c r="P49" s="6"/>
      <c r="Q49" s="6"/>
      <c r="R49" s="6"/>
      <c r="S49" s="6"/>
      <c r="T49" s="6"/>
      <c r="U49" s="6"/>
      <c r="V49" s="6"/>
      <c r="W49" s="6"/>
      <c r="X49" s="6"/>
      <c r="Y49" s="6"/>
      <c r="Z49" s="6"/>
    </row>
    <row r="50">
      <c r="A50" s="6"/>
      <c r="B50" s="6"/>
      <c r="C50" s="6"/>
      <c r="D50" s="6"/>
      <c r="E50" s="6"/>
      <c r="F50" s="6"/>
      <c r="G50" s="6"/>
      <c r="H50" s="6"/>
      <c r="I50" s="9"/>
      <c r="J50" s="6"/>
      <c r="K50" s="6"/>
      <c r="L50" s="6"/>
      <c r="M50" s="6"/>
      <c r="N50" s="6"/>
      <c r="O50" s="6"/>
      <c r="P50" s="6"/>
      <c r="Q50" s="6"/>
      <c r="R50" s="6"/>
      <c r="S50" s="6"/>
      <c r="T50" s="6"/>
      <c r="U50" s="6"/>
      <c r="V50" s="6"/>
      <c r="W50" s="6"/>
      <c r="X50" s="6"/>
      <c r="Y50" s="6"/>
      <c r="Z50" s="6"/>
    </row>
    <row r="51">
      <c r="A51" s="6"/>
      <c r="B51" s="6"/>
      <c r="C51" s="6"/>
      <c r="D51" s="6"/>
      <c r="E51" s="6"/>
      <c r="F51" s="6"/>
      <c r="G51" s="6"/>
      <c r="H51" s="6"/>
      <c r="I51" s="9"/>
      <c r="J51" s="6"/>
      <c r="K51" s="6"/>
      <c r="L51" s="6"/>
      <c r="M51" s="6"/>
      <c r="N51" s="6"/>
      <c r="O51" s="6"/>
      <c r="P51" s="6"/>
      <c r="Q51" s="6"/>
      <c r="R51" s="6"/>
      <c r="S51" s="6"/>
      <c r="T51" s="6"/>
      <c r="U51" s="6"/>
      <c r="V51" s="6"/>
      <c r="W51" s="6"/>
      <c r="X51" s="6"/>
      <c r="Y51" s="6"/>
      <c r="Z51" s="6"/>
    </row>
    <row r="52">
      <c r="A52" s="6"/>
      <c r="B52" s="6"/>
      <c r="C52" s="6"/>
      <c r="D52" s="6"/>
      <c r="E52" s="6"/>
      <c r="F52" s="6"/>
      <c r="G52" s="6"/>
      <c r="H52" s="6"/>
      <c r="I52" s="9"/>
      <c r="J52" s="6"/>
      <c r="K52" s="6"/>
      <c r="L52" s="6"/>
      <c r="M52" s="6"/>
      <c r="N52" s="6"/>
      <c r="O52" s="6"/>
      <c r="P52" s="6"/>
      <c r="Q52" s="6"/>
      <c r="R52" s="6"/>
      <c r="S52" s="6"/>
      <c r="T52" s="6"/>
      <c r="U52" s="6"/>
      <c r="V52" s="6"/>
      <c r="W52" s="6"/>
      <c r="X52" s="6"/>
      <c r="Y52" s="6"/>
      <c r="Z52" s="6"/>
    </row>
    <row r="53">
      <c r="A53" s="6"/>
      <c r="B53" s="6"/>
      <c r="C53" s="6"/>
      <c r="D53" s="6"/>
      <c r="E53" s="6"/>
      <c r="F53" s="6"/>
      <c r="G53" s="6"/>
      <c r="H53" s="6"/>
      <c r="I53" s="9"/>
      <c r="J53" s="6"/>
      <c r="K53" s="6"/>
      <c r="L53" s="6"/>
      <c r="M53" s="6"/>
      <c r="N53" s="6"/>
      <c r="O53" s="6"/>
      <c r="P53" s="6"/>
      <c r="Q53" s="6"/>
      <c r="R53" s="6"/>
      <c r="S53" s="6"/>
      <c r="T53" s="6"/>
      <c r="U53" s="6"/>
      <c r="V53" s="6"/>
      <c r="W53" s="6"/>
      <c r="X53" s="6"/>
      <c r="Y53" s="6"/>
      <c r="Z53" s="6"/>
    </row>
    <row r="54">
      <c r="A54" s="6"/>
      <c r="B54" s="6"/>
      <c r="C54" s="6"/>
      <c r="D54" s="6"/>
      <c r="E54" s="6"/>
      <c r="F54" s="6"/>
      <c r="G54" s="6"/>
      <c r="H54" s="6"/>
      <c r="I54" s="9"/>
      <c r="J54" s="6"/>
      <c r="K54" s="6"/>
      <c r="L54" s="6"/>
      <c r="M54" s="6"/>
      <c r="N54" s="6"/>
      <c r="O54" s="6"/>
      <c r="P54" s="6"/>
      <c r="Q54" s="6"/>
      <c r="R54" s="6"/>
      <c r="S54" s="6"/>
      <c r="T54" s="6"/>
      <c r="U54" s="6"/>
      <c r="V54" s="6"/>
      <c r="W54" s="6"/>
      <c r="X54" s="6"/>
      <c r="Y54" s="6"/>
      <c r="Z54" s="6"/>
    </row>
    <row r="55">
      <c r="A55" s="6"/>
      <c r="B55" s="6"/>
      <c r="C55" s="6"/>
      <c r="D55" s="6"/>
      <c r="E55" s="6"/>
      <c r="F55" s="6"/>
      <c r="G55" s="6"/>
      <c r="H55" s="6"/>
      <c r="I55" s="9"/>
      <c r="J55" s="6"/>
      <c r="K55" s="6"/>
      <c r="L55" s="6"/>
      <c r="M55" s="6"/>
      <c r="N55" s="6"/>
      <c r="O55" s="6"/>
      <c r="P55" s="6"/>
      <c r="Q55" s="6"/>
      <c r="R55" s="6"/>
      <c r="S55" s="6"/>
      <c r="T55" s="6"/>
      <c r="U55" s="6"/>
      <c r="V55" s="6"/>
      <c r="W55" s="6"/>
      <c r="X55" s="6"/>
      <c r="Y55" s="6"/>
      <c r="Z55" s="6"/>
    </row>
    <row r="56">
      <c r="A56" s="6"/>
      <c r="B56" s="6"/>
      <c r="C56" s="6"/>
      <c r="D56" s="6"/>
      <c r="E56" s="6"/>
      <c r="F56" s="6"/>
      <c r="G56" s="6"/>
      <c r="H56" s="6"/>
      <c r="I56" s="9"/>
      <c r="J56" s="6"/>
      <c r="K56" s="6"/>
      <c r="L56" s="6"/>
      <c r="M56" s="6"/>
      <c r="N56" s="6"/>
      <c r="O56" s="6"/>
      <c r="P56" s="6"/>
      <c r="Q56" s="6"/>
      <c r="R56" s="6"/>
      <c r="S56" s="6"/>
      <c r="T56" s="6"/>
      <c r="U56" s="6"/>
      <c r="V56" s="6"/>
      <c r="W56" s="6"/>
      <c r="X56" s="6"/>
      <c r="Y56" s="6"/>
      <c r="Z56" s="6"/>
    </row>
    <row r="57">
      <c r="A57" s="6"/>
      <c r="B57" s="6"/>
      <c r="C57" s="6"/>
      <c r="D57" s="6"/>
      <c r="E57" s="6"/>
      <c r="F57" s="6"/>
      <c r="G57" s="6"/>
      <c r="H57" s="6"/>
      <c r="I57" s="9"/>
      <c r="J57" s="6"/>
      <c r="K57" s="6"/>
      <c r="L57" s="6"/>
      <c r="M57" s="6"/>
      <c r="N57" s="6"/>
      <c r="O57" s="6"/>
      <c r="P57" s="6"/>
      <c r="Q57" s="6"/>
      <c r="R57" s="6"/>
      <c r="S57" s="6"/>
      <c r="T57" s="6"/>
      <c r="U57" s="6"/>
      <c r="V57" s="6"/>
      <c r="W57" s="6"/>
      <c r="X57" s="6"/>
      <c r="Y57" s="6"/>
      <c r="Z57" s="6"/>
    </row>
    <row r="58">
      <c r="A58" s="6"/>
      <c r="B58" s="6"/>
      <c r="C58" s="6"/>
      <c r="D58" s="6"/>
      <c r="E58" s="6"/>
      <c r="F58" s="6"/>
      <c r="G58" s="6"/>
      <c r="H58" s="6"/>
      <c r="I58" s="9"/>
      <c r="J58" s="6"/>
      <c r="K58" s="6"/>
      <c r="L58" s="6"/>
      <c r="M58" s="6"/>
      <c r="N58" s="6"/>
      <c r="O58" s="6"/>
      <c r="P58" s="6"/>
      <c r="Q58" s="6"/>
      <c r="R58" s="6"/>
      <c r="S58" s="6"/>
      <c r="T58" s="6"/>
      <c r="U58" s="6"/>
      <c r="V58" s="6"/>
      <c r="W58" s="6"/>
      <c r="X58" s="6"/>
      <c r="Y58" s="6"/>
      <c r="Z58" s="6"/>
    </row>
    <row r="59">
      <c r="A59" s="6"/>
      <c r="B59" s="6"/>
      <c r="C59" s="6"/>
      <c r="D59" s="6"/>
      <c r="E59" s="6"/>
      <c r="F59" s="6"/>
      <c r="G59" s="6"/>
      <c r="H59" s="6"/>
      <c r="I59" s="9"/>
      <c r="J59" s="6"/>
      <c r="K59" s="6"/>
      <c r="L59" s="6"/>
      <c r="M59" s="6"/>
      <c r="N59" s="6"/>
      <c r="O59" s="6"/>
      <c r="P59" s="6"/>
      <c r="Q59" s="6"/>
      <c r="R59" s="6"/>
      <c r="S59" s="6"/>
      <c r="T59" s="6"/>
      <c r="U59" s="6"/>
      <c r="V59" s="6"/>
      <c r="W59" s="6"/>
      <c r="X59" s="6"/>
      <c r="Y59" s="6"/>
      <c r="Z59" s="6"/>
    </row>
    <row r="60">
      <c r="A60" s="6"/>
      <c r="B60" s="6"/>
      <c r="C60" s="6"/>
      <c r="D60" s="6"/>
      <c r="E60" s="6"/>
      <c r="F60" s="6"/>
      <c r="G60" s="6"/>
      <c r="H60" s="6"/>
      <c r="I60" s="9"/>
      <c r="J60" s="6"/>
      <c r="K60" s="6"/>
      <c r="L60" s="6"/>
      <c r="M60" s="6"/>
      <c r="N60" s="6"/>
      <c r="O60" s="6"/>
      <c r="P60" s="6"/>
      <c r="Q60" s="6"/>
      <c r="R60" s="6"/>
      <c r="S60" s="6"/>
      <c r="T60" s="6"/>
      <c r="U60" s="6"/>
      <c r="V60" s="6"/>
      <c r="W60" s="6"/>
      <c r="X60" s="6"/>
      <c r="Y60" s="6"/>
      <c r="Z60" s="6"/>
    </row>
    <row r="61">
      <c r="A61" s="6"/>
      <c r="B61" s="6"/>
      <c r="C61" s="6"/>
      <c r="D61" s="6"/>
      <c r="E61" s="6"/>
      <c r="F61" s="6"/>
      <c r="G61" s="6"/>
      <c r="H61" s="6"/>
      <c r="I61" s="9"/>
      <c r="J61" s="6"/>
      <c r="K61" s="6"/>
      <c r="L61" s="6"/>
      <c r="M61" s="6"/>
      <c r="N61" s="6"/>
      <c r="O61" s="6"/>
      <c r="P61" s="6"/>
      <c r="Q61" s="6"/>
      <c r="R61" s="6"/>
      <c r="S61" s="6"/>
      <c r="T61" s="6"/>
      <c r="U61" s="6"/>
      <c r="V61" s="6"/>
      <c r="W61" s="6"/>
      <c r="X61" s="6"/>
      <c r="Y61" s="6"/>
      <c r="Z61" s="6"/>
    </row>
    <row r="62">
      <c r="A62" s="6"/>
      <c r="B62" s="6"/>
      <c r="C62" s="6"/>
      <c r="D62" s="6"/>
      <c r="E62" s="6"/>
      <c r="F62" s="6"/>
      <c r="G62" s="6"/>
      <c r="H62" s="6"/>
      <c r="I62" s="9"/>
      <c r="J62" s="6"/>
      <c r="K62" s="6"/>
      <c r="L62" s="6"/>
      <c r="M62" s="6"/>
      <c r="N62" s="6"/>
      <c r="O62" s="6"/>
      <c r="P62" s="6"/>
      <c r="Q62" s="6"/>
      <c r="R62" s="6"/>
      <c r="S62" s="6"/>
      <c r="T62" s="6"/>
      <c r="U62" s="6"/>
      <c r="V62" s="6"/>
      <c r="W62" s="6"/>
      <c r="X62" s="6"/>
      <c r="Y62" s="6"/>
      <c r="Z62" s="6"/>
    </row>
    <row r="63">
      <c r="A63" s="6"/>
      <c r="B63" s="6"/>
      <c r="C63" s="6"/>
      <c r="D63" s="6"/>
      <c r="E63" s="6"/>
      <c r="F63" s="6"/>
      <c r="G63" s="6"/>
      <c r="H63" s="6"/>
      <c r="I63" s="9"/>
      <c r="J63" s="6"/>
      <c r="K63" s="6"/>
      <c r="L63" s="6"/>
      <c r="M63" s="6"/>
      <c r="N63" s="6"/>
      <c r="O63" s="6"/>
      <c r="P63" s="6"/>
      <c r="Q63" s="6"/>
      <c r="R63" s="6"/>
      <c r="S63" s="6"/>
      <c r="T63" s="6"/>
      <c r="U63" s="6"/>
      <c r="V63" s="6"/>
      <c r="W63" s="6"/>
      <c r="X63" s="6"/>
      <c r="Y63" s="6"/>
      <c r="Z63" s="6"/>
    </row>
    <row r="64">
      <c r="A64" s="6"/>
      <c r="B64" s="6"/>
      <c r="C64" s="6"/>
      <c r="D64" s="6"/>
      <c r="E64" s="6"/>
      <c r="F64" s="6"/>
      <c r="G64" s="6"/>
      <c r="H64" s="6"/>
      <c r="I64" s="9"/>
      <c r="J64" s="6"/>
      <c r="K64" s="6"/>
      <c r="L64" s="6"/>
      <c r="M64" s="6"/>
      <c r="N64" s="6"/>
      <c r="O64" s="6"/>
      <c r="P64" s="6"/>
      <c r="Q64" s="6"/>
      <c r="R64" s="6"/>
      <c r="S64" s="6"/>
      <c r="T64" s="6"/>
      <c r="U64" s="6"/>
      <c r="V64" s="6"/>
      <c r="W64" s="6"/>
      <c r="X64" s="6"/>
      <c r="Y64" s="6"/>
      <c r="Z64" s="6"/>
    </row>
    <row r="65">
      <c r="A65" s="6"/>
      <c r="B65" s="6"/>
      <c r="C65" s="6"/>
      <c r="D65" s="6"/>
      <c r="E65" s="6"/>
      <c r="F65" s="6"/>
      <c r="G65" s="6"/>
      <c r="H65" s="6"/>
      <c r="I65" s="9"/>
      <c r="J65" s="6"/>
      <c r="K65" s="6"/>
      <c r="L65" s="6"/>
      <c r="M65" s="6"/>
      <c r="N65" s="6"/>
      <c r="O65" s="6"/>
      <c r="P65" s="6"/>
      <c r="Q65" s="6"/>
      <c r="R65" s="6"/>
      <c r="S65" s="6"/>
      <c r="T65" s="6"/>
      <c r="U65" s="6"/>
      <c r="V65" s="6"/>
      <c r="W65" s="6"/>
      <c r="X65" s="6"/>
      <c r="Y65" s="6"/>
      <c r="Z65" s="6"/>
    </row>
    <row r="66">
      <c r="A66" s="6"/>
      <c r="B66" s="6"/>
      <c r="C66" s="6"/>
      <c r="D66" s="6"/>
      <c r="E66" s="6"/>
      <c r="F66" s="6"/>
      <c r="G66" s="6"/>
      <c r="H66" s="6"/>
      <c r="I66" s="9"/>
      <c r="J66" s="6"/>
      <c r="K66" s="6"/>
      <c r="L66" s="6"/>
      <c r="M66" s="6"/>
      <c r="N66" s="6"/>
      <c r="O66" s="6"/>
      <c r="P66" s="6"/>
      <c r="Q66" s="6"/>
      <c r="R66" s="6"/>
      <c r="S66" s="6"/>
      <c r="T66" s="6"/>
      <c r="U66" s="6"/>
      <c r="V66" s="6"/>
      <c r="W66" s="6"/>
      <c r="X66" s="6"/>
      <c r="Y66" s="6"/>
      <c r="Z66" s="6"/>
    </row>
    <row r="67">
      <c r="A67" s="6"/>
      <c r="B67" s="6"/>
      <c r="C67" s="6"/>
      <c r="D67" s="6"/>
      <c r="E67" s="6"/>
      <c r="F67" s="6"/>
      <c r="G67" s="6"/>
      <c r="H67" s="6"/>
      <c r="I67" s="9"/>
      <c r="J67" s="6"/>
      <c r="K67" s="6"/>
      <c r="L67" s="6"/>
      <c r="M67" s="6"/>
      <c r="N67" s="6"/>
      <c r="O67" s="6"/>
      <c r="P67" s="6"/>
      <c r="Q67" s="6"/>
      <c r="R67" s="6"/>
      <c r="S67" s="6"/>
      <c r="T67" s="6"/>
      <c r="U67" s="6"/>
      <c r="V67" s="6"/>
      <c r="W67" s="6"/>
      <c r="X67" s="6"/>
      <c r="Y67" s="6"/>
      <c r="Z67" s="6"/>
    </row>
    <row r="68">
      <c r="A68" s="6"/>
      <c r="B68" s="6"/>
      <c r="C68" s="6"/>
      <c r="D68" s="6"/>
      <c r="E68" s="6"/>
      <c r="F68" s="6"/>
      <c r="G68" s="6"/>
      <c r="H68" s="6"/>
      <c r="I68" s="9"/>
      <c r="J68" s="6"/>
      <c r="K68" s="6"/>
      <c r="L68" s="6"/>
      <c r="M68" s="6"/>
      <c r="N68" s="6"/>
      <c r="O68" s="6"/>
      <c r="P68" s="6"/>
      <c r="Q68" s="6"/>
      <c r="R68" s="6"/>
      <c r="S68" s="6"/>
      <c r="T68" s="6"/>
      <c r="U68" s="6"/>
      <c r="V68" s="6"/>
      <c r="W68" s="6"/>
      <c r="X68" s="6"/>
      <c r="Y68" s="6"/>
      <c r="Z68" s="6"/>
    </row>
    <row r="69">
      <c r="A69" s="6"/>
      <c r="B69" s="6"/>
      <c r="C69" s="6"/>
      <c r="D69" s="6"/>
      <c r="E69" s="6"/>
      <c r="F69" s="6"/>
      <c r="G69" s="6"/>
      <c r="H69" s="6"/>
      <c r="I69" s="9"/>
      <c r="J69" s="6"/>
      <c r="K69" s="6"/>
      <c r="L69" s="6"/>
      <c r="M69" s="6"/>
      <c r="N69" s="6"/>
      <c r="O69" s="6"/>
      <c r="P69" s="6"/>
      <c r="Q69" s="6"/>
      <c r="R69" s="6"/>
      <c r="S69" s="6"/>
      <c r="T69" s="6"/>
      <c r="U69" s="6"/>
      <c r="V69" s="6"/>
      <c r="W69" s="6"/>
      <c r="X69" s="6"/>
      <c r="Y69" s="6"/>
      <c r="Z69" s="6"/>
    </row>
    <row r="70">
      <c r="A70" s="6"/>
      <c r="B70" s="6"/>
      <c r="C70" s="6"/>
      <c r="D70" s="6"/>
      <c r="E70" s="6"/>
      <c r="F70" s="6"/>
      <c r="G70" s="6"/>
      <c r="H70" s="6"/>
      <c r="I70" s="9"/>
      <c r="J70" s="6"/>
      <c r="K70" s="6"/>
      <c r="L70" s="6"/>
      <c r="M70" s="6"/>
      <c r="N70" s="6"/>
      <c r="O70" s="6"/>
      <c r="P70" s="6"/>
      <c r="Q70" s="6"/>
      <c r="R70" s="6"/>
      <c r="S70" s="6"/>
      <c r="T70" s="6"/>
      <c r="U70" s="6"/>
      <c r="V70" s="6"/>
      <c r="W70" s="6"/>
      <c r="X70" s="6"/>
      <c r="Y70" s="6"/>
      <c r="Z70" s="6"/>
    </row>
    <row r="71">
      <c r="A71" s="6"/>
      <c r="B71" s="6"/>
      <c r="C71" s="6"/>
      <c r="D71" s="6"/>
      <c r="E71" s="6"/>
      <c r="F71" s="6"/>
      <c r="G71" s="6"/>
      <c r="H71" s="6"/>
      <c r="I71" s="9"/>
      <c r="J71" s="6"/>
      <c r="K71" s="6"/>
      <c r="L71" s="6"/>
      <c r="M71" s="6"/>
      <c r="N71" s="6"/>
      <c r="O71" s="6"/>
      <c r="P71" s="6"/>
      <c r="Q71" s="6"/>
      <c r="R71" s="6"/>
      <c r="S71" s="6"/>
      <c r="T71" s="6"/>
      <c r="U71" s="6"/>
      <c r="V71" s="6"/>
      <c r="W71" s="6"/>
      <c r="X71" s="6"/>
      <c r="Y71" s="6"/>
      <c r="Z71" s="6"/>
    </row>
    <row r="72">
      <c r="A72" s="6"/>
      <c r="B72" s="6"/>
      <c r="C72" s="6"/>
      <c r="D72" s="6"/>
      <c r="E72" s="6"/>
      <c r="F72" s="6"/>
      <c r="G72" s="6"/>
      <c r="H72" s="6"/>
      <c r="I72" s="9"/>
      <c r="J72" s="6"/>
      <c r="K72" s="6"/>
      <c r="L72" s="6"/>
      <c r="M72" s="6"/>
      <c r="N72" s="6"/>
      <c r="O72" s="6"/>
      <c r="P72" s="6"/>
      <c r="Q72" s="6"/>
      <c r="R72" s="6"/>
      <c r="S72" s="6"/>
      <c r="T72" s="6"/>
      <c r="U72" s="6"/>
      <c r="V72" s="6"/>
      <c r="W72" s="6"/>
      <c r="X72" s="6"/>
      <c r="Y72" s="6"/>
      <c r="Z72" s="6"/>
    </row>
    <row r="73">
      <c r="A73" s="6"/>
      <c r="B73" s="6"/>
      <c r="C73" s="6"/>
      <c r="D73" s="6"/>
      <c r="E73" s="6"/>
      <c r="F73" s="6"/>
      <c r="G73" s="6"/>
      <c r="H73" s="6"/>
      <c r="I73" s="9"/>
      <c r="J73" s="6"/>
      <c r="K73" s="6"/>
      <c r="L73" s="6"/>
      <c r="M73" s="6"/>
      <c r="N73" s="6"/>
      <c r="O73" s="6"/>
      <c r="P73" s="6"/>
      <c r="Q73" s="6"/>
      <c r="R73" s="6"/>
      <c r="S73" s="6"/>
      <c r="T73" s="6"/>
      <c r="U73" s="6"/>
      <c r="V73" s="6"/>
      <c r="W73" s="6"/>
      <c r="X73" s="6"/>
      <c r="Y73" s="6"/>
      <c r="Z73" s="6"/>
    </row>
    <row r="74">
      <c r="A74" s="6"/>
      <c r="B74" s="6"/>
      <c r="C74" s="6"/>
      <c r="D74" s="6"/>
      <c r="E74" s="6"/>
      <c r="F74" s="6"/>
      <c r="G74" s="6"/>
      <c r="H74" s="6"/>
      <c r="I74" s="9"/>
      <c r="J74" s="6"/>
      <c r="K74" s="6"/>
      <c r="L74" s="6"/>
      <c r="M74" s="6"/>
      <c r="N74" s="6"/>
      <c r="O74" s="6"/>
      <c r="P74" s="6"/>
      <c r="Q74" s="6"/>
      <c r="R74" s="6"/>
      <c r="S74" s="6"/>
      <c r="T74" s="6"/>
      <c r="U74" s="6"/>
      <c r="V74" s="6"/>
      <c r="W74" s="6"/>
      <c r="X74" s="6"/>
      <c r="Y74" s="6"/>
      <c r="Z74" s="6"/>
    </row>
    <row r="75">
      <c r="A75" s="6"/>
      <c r="B75" s="6"/>
      <c r="C75" s="6"/>
      <c r="D75" s="6"/>
      <c r="E75" s="6"/>
      <c r="F75" s="6"/>
      <c r="G75" s="6"/>
      <c r="H75" s="6"/>
      <c r="I75" s="9"/>
      <c r="J75" s="6"/>
      <c r="K75" s="6"/>
      <c r="L75" s="6"/>
      <c r="M75" s="6"/>
      <c r="N75" s="6"/>
      <c r="O75" s="6"/>
      <c r="P75" s="6"/>
      <c r="Q75" s="6"/>
      <c r="R75" s="6"/>
      <c r="S75" s="6"/>
      <c r="T75" s="6"/>
      <c r="U75" s="6"/>
      <c r="V75" s="6"/>
      <c r="W75" s="6"/>
      <c r="X75" s="6"/>
      <c r="Y75" s="6"/>
      <c r="Z75" s="6"/>
    </row>
    <row r="76">
      <c r="A76" s="6"/>
      <c r="B76" s="6"/>
      <c r="C76" s="6"/>
      <c r="D76" s="6"/>
      <c r="E76" s="6"/>
      <c r="F76" s="6"/>
      <c r="G76" s="6"/>
      <c r="H76" s="6"/>
      <c r="I76" s="9"/>
      <c r="J76" s="6"/>
      <c r="K76" s="6"/>
      <c r="L76" s="6"/>
      <c r="M76" s="6"/>
      <c r="N76" s="6"/>
      <c r="O76" s="6"/>
      <c r="P76" s="6"/>
      <c r="Q76" s="6"/>
      <c r="R76" s="6"/>
      <c r="S76" s="6"/>
      <c r="T76" s="6"/>
      <c r="U76" s="6"/>
      <c r="V76" s="6"/>
      <c r="W76" s="6"/>
      <c r="X76" s="6"/>
      <c r="Y76" s="6"/>
      <c r="Z76" s="6"/>
    </row>
    <row r="77">
      <c r="A77" s="6"/>
      <c r="B77" s="6"/>
      <c r="C77" s="6"/>
      <c r="D77" s="6"/>
      <c r="E77" s="6"/>
      <c r="F77" s="6"/>
      <c r="G77" s="6"/>
      <c r="H77" s="6"/>
      <c r="I77" s="9"/>
      <c r="J77" s="6"/>
      <c r="K77" s="6"/>
      <c r="L77" s="6"/>
      <c r="M77" s="6"/>
      <c r="N77" s="6"/>
      <c r="O77" s="6"/>
      <c r="P77" s="6"/>
      <c r="Q77" s="6"/>
      <c r="R77" s="6"/>
      <c r="S77" s="6"/>
      <c r="T77" s="6"/>
      <c r="U77" s="6"/>
      <c r="V77" s="6"/>
      <c r="W77" s="6"/>
      <c r="X77" s="6"/>
      <c r="Y77" s="6"/>
      <c r="Z77" s="6"/>
    </row>
    <row r="78">
      <c r="A78" s="6"/>
      <c r="B78" s="6"/>
      <c r="C78" s="6"/>
      <c r="D78" s="6"/>
      <c r="E78" s="6"/>
      <c r="F78" s="6"/>
      <c r="G78" s="6"/>
      <c r="H78" s="6"/>
      <c r="I78" s="9"/>
      <c r="J78" s="6"/>
      <c r="K78" s="6"/>
      <c r="L78" s="6"/>
      <c r="M78" s="6"/>
      <c r="N78" s="6"/>
      <c r="O78" s="6"/>
      <c r="P78" s="6"/>
      <c r="Q78" s="6"/>
      <c r="R78" s="6"/>
      <c r="S78" s="6"/>
      <c r="T78" s="6"/>
      <c r="U78" s="6"/>
      <c r="V78" s="6"/>
      <c r="W78" s="6"/>
      <c r="X78" s="6"/>
      <c r="Y78" s="6"/>
      <c r="Z78" s="6"/>
    </row>
    <row r="79">
      <c r="A79" s="6"/>
      <c r="B79" s="6"/>
      <c r="C79" s="6"/>
      <c r="D79" s="6"/>
      <c r="E79" s="6"/>
      <c r="F79" s="6"/>
      <c r="G79" s="6"/>
      <c r="H79" s="6"/>
      <c r="I79" s="9"/>
      <c r="J79" s="6"/>
      <c r="K79" s="6"/>
      <c r="L79" s="6"/>
      <c r="M79" s="6"/>
      <c r="N79" s="6"/>
      <c r="O79" s="6"/>
      <c r="P79" s="6"/>
      <c r="Q79" s="6"/>
      <c r="R79" s="6"/>
      <c r="S79" s="6"/>
      <c r="T79" s="6"/>
      <c r="U79" s="6"/>
      <c r="V79" s="6"/>
      <c r="W79" s="6"/>
      <c r="X79" s="6"/>
      <c r="Y79" s="6"/>
      <c r="Z79" s="6"/>
    </row>
    <row r="80">
      <c r="A80" s="6"/>
      <c r="B80" s="6"/>
      <c r="C80" s="6"/>
      <c r="D80" s="6"/>
      <c r="E80" s="6"/>
      <c r="F80" s="6"/>
      <c r="G80" s="6"/>
      <c r="H80" s="6"/>
      <c r="I80" s="9"/>
      <c r="J80" s="6"/>
      <c r="K80" s="6"/>
      <c r="L80" s="6"/>
      <c r="M80" s="6"/>
      <c r="N80" s="6"/>
      <c r="O80" s="6"/>
      <c r="P80" s="6"/>
      <c r="Q80" s="6"/>
      <c r="R80" s="6"/>
      <c r="S80" s="6"/>
      <c r="T80" s="6"/>
      <c r="U80" s="6"/>
      <c r="V80" s="6"/>
      <c r="W80" s="6"/>
      <c r="X80" s="6"/>
      <c r="Y80" s="6"/>
      <c r="Z80" s="6"/>
    </row>
    <row r="81">
      <c r="A81" s="6"/>
      <c r="B81" s="6"/>
      <c r="C81" s="6"/>
      <c r="D81" s="6"/>
      <c r="E81" s="6"/>
      <c r="F81" s="6"/>
      <c r="G81" s="6"/>
      <c r="H81" s="6"/>
      <c r="I81" s="9"/>
      <c r="J81" s="6"/>
      <c r="K81" s="6"/>
      <c r="L81" s="6"/>
      <c r="M81" s="6"/>
      <c r="N81" s="6"/>
      <c r="O81" s="6"/>
      <c r="P81" s="6"/>
      <c r="Q81" s="6"/>
      <c r="R81" s="6"/>
      <c r="S81" s="6"/>
      <c r="T81" s="6"/>
      <c r="U81" s="6"/>
      <c r="V81" s="6"/>
      <c r="W81" s="6"/>
      <c r="X81" s="6"/>
      <c r="Y81" s="6"/>
      <c r="Z81" s="6"/>
    </row>
    <row r="82">
      <c r="A82" s="6"/>
      <c r="B82" s="6"/>
      <c r="C82" s="6"/>
      <c r="D82" s="6"/>
      <c r="E82" s="6"/>
      <c r="F82" s="6"/>
      <c r="G82" s="6"/>
      <c r="H82" s="6"/>
      <c r="I82" s="9"/>
      <c r="J82" s="6"/>
      <c r="K82" s="6"/>
      <c r="L82" s="6"/>
      <c r="M82" s="6"/>
      <c r="N82" s="6"/>
      <c r="O82" s="6"/>
      <c r="P82" s="6"/>
      <c r="Q82" s="6"/>
      <c r="R82" s="6"/>
      <c r="S82" s="6"/>
      <c r="T82" s="6"/>
      <c r="U82" s="6"/>
      <c r="V82" s="6"/>
      <c r="W82" s="6"/>
      <c r="X82" s="6"/>
      <c r="Y82" s="6"/>
      <c r="Z82" s="6"/>
    </row>
    <row r="83">
      <c r="A83" s="6"/>
      <c r="B83" s="6"/>
      <c r="C83" s="6"/>
      <c r="D83" s="6"/>
      <c r="E83" s="6"/>
      <c r="F83" s="6"/>
      <c r="G83" s="6"/>
      <c r="H83" s="6"/>
      <c r="I83" s="9"/>
      <c r="J83" s="6"/>
      <c r="K83" s="6"/>
      <c r="L83" s="6"/>
      <c r="M83" s="6"/>
      <c r="N83" s="6"/>
      <c r="O83" s="6"/>
      <c r="P83" s="6"/>
      <c r="Q83" s="6"/>
      <c r="R83" s="6"/>
      <c r="S83" s="6"/>
      <c r="T83" s="6"/>
      <c r="U83" s="6"/>
      <c r="V83" s="6"/>
      <c r="W83" s="6"/>
      <c r="X83" s="6"/>
      <c r="Y83" s="6"/>
      <c r="Z83" s="6"/>
    </row>
    <row r="84">
      <c r="A84" s="6"/>
      <c r="B84" s="6"/>
      <c r="C84" s="6"/>
      <c r="D84" s="6"/>
      <c r="E84" s="6"/>
      <c r="F84" s="6"/>
      <c r="G84" s="6"/>
      <c r="H84" s="6"/>
      <c r="I84" s="9"/>
      <c r="J84" s="6"/>
      <c r="K84" s="6"/>
      <c r="L84" s="6"/>
      <c r="M84" s="6"/>
      <c r="N84" s="6"/>
      <c r="O84" s="6"/>
      <c r="P84" s="6"/>
      <c r="Q84" s="6"/>
      <c r="R84" s="6"/>
      <c r="S84" s="6"/>
      <c r="T84" s="6"/>
      <c r="U84" s="6"/>
      <c r="V84" s="6"/>
      <c r="W84" s="6"/>
      <c r="X84" s="6"/>
      <c r="Y84" s="6"/>
      <c r="Z84" s="6"/>
    </row>
    <row r="85">
      <c r="A85" s="6"/>
      <c r="B85" s="6"/>
      <c r="C85" s="6"/>
      <c r="D85" s="6"/>
      <c r="E85" s="6"/>
      <c r="F85" s="6"/>
      <c r="G85" s="6"/>
      <c r="H85" s="6"/>
      <c r="I85" s="9"/>
      <c r="J85" s="6"/>
      <c r="K85" s="6"/>
      <c r="L85" s="6"/>
      <c r="M85" s="6"/>
      <c r="N85" s="6"/>
      <c r="O85" s="6"/>
      <c r="P85" s="6"/>
      <c r="Q85" s="6"/>
      <c r="R85" s="6"/>
      <c r="S85" s="6"/>
      <c r="T85" s="6"/>
      <c r="U85" s="6"/>
      <c r="V85" s="6"/>
      <c r="W85" s="6"/>
      <c r="X85" s="6"/>
      <c r="Y85" s="6"/>
      <c r="Z85" s="6"/>
    </row>
    <row r="86">
      <c r="A86" s="6"/>
      <c r="B86" s="6"/>
      <c r="C86" s="6"/>
      <c r="D86" s="6"/>
      <c r="E86" s="6"/>
      <c r="F86" s="6"/>
      <c r="G86" s="6"/>
      <c r="H86" s="6"/>
      <c r="I86" s="9"/>
      <c r="J86" s="6"/>
      <c r="K86" s="6"/>
      <c r="L86" s="6"/>
      <c r="M86" s="6"/>
      <c r="N86" s="6"/>
      <c r="O86" s="6"/>
      <c r="P86" s="6"/>
      <c r="Q86" s="6"/>
      <c r="R86" s="6"/>
      <c r="S86" s="6"/>
      <c r="T86" s="6"/>
      <c r="U86" s="6"/>
      <c r="V86" s="6"/>
      <c r="W86" s="6"/>
      <c r="X86" s="6"/>
      <c r="Y86" s="6"/>
      <c r="Z86" s="6"/>
    </row>
    <row r="87">
      <c r="A87" s="6"/>
      <c r="B87" s="6"/>
      <c r="C87" s="6"/>
      <c r="D87" s="6"/>
      <c r="E87" s="6"/>
      <c r="F87" s="6"/>
      <c r="G87" s="6"/>
      <c r="H87" s="6"/>
      <c r="I87" s="9"/>
      <c r="J87" s="6"/>
      <c r="K87" s="6"/>
      <c r="L87" s="6"/>
      <c r="M87" s="6"/>
      <c r="N87" s="6"/>
      <c r="O87" s="6"/>
      <c r="P87" s="6"/>
      <c r="Q87" s="6"/>
      <c r="R87" s="6"/>
      <c r="S87" s="6"/>
      <c r="T87" s="6"/>
      <c r="U87" s="6"/>
      <c r="V87" s="6"/>
      <c r="W87" s="6"/>
      <c r="X87" s="6"/>
      <c r="Y87" s="6"/>
      <c r="Z87" s="6"/>
    </row>
    <row r="88">
      <c r="A88" s="6"/>
      <c r="B88" s="6"/>
      <c r="C88" s="6"/>
      <c r="D88" s="6"/>
      <c r="E88" s="6"/>
      <c r="F88" s="6"/>
      <c r="G88" s="6"/>
      <c r="H88" s="6"/>
      <c r="I88" s="9"/>
      <c r="J88" s="6"/>
      <c r="K88" s="6"/>
      <c r="L88" s="6"/>
      <c r="M88" s="6"/>
      <c r="N88" s="6"/>
      <c r="O88" s="6"/>
      <c r="P88" s="6"/>
      <c r="Q88" s="6"/>
      <c r="R88" s="6"/>
      <c r="S88" s="6"/>
      <c r="T88" s="6"/>
      <c r="U88" s="6"/>
      <c r="V88" s="6"/>
      <c r="W88" s="6"/>
      <c r="X88" s="6"/>
      <c r="Y88" s="6"/>
      <c r="Z88" s="6"/>
    </row>
    <row r="89">
      <c r="A89" s="6"/>
      <c r="B89" s="6"/>
      <c r="C89" s="6"/>
      <c r="D89" s="6"/>
      <c r="E89" s="6"/>
      <c r="F89" s="6"/>
      <c r="G89" s="6"/>
      <c r="H89" s="6"/>
      <c r="I89" s="9"/>
      <c r="J89" s="6"/>
      <c r="K89" s="6"/>
      <c r="L89" s="6"/>
      <c r="M89" s="6"/>
      <c r="N89" s="6"/>
      <c r="O89" s="6"/>
      <c r="P89" s="6"/>
      <c r="Q89" s="6"/>
      <c r="R89" s="6"/>
      <c r="S89" s="6"/>
      <c r="T89" s="6"/>
      <c r="U89" s="6"/>
      <c r="V89" s="6"/>
      <c r="W89" s="6"/>
      <c r="X89" s="6"/>
      <c r="Y89" s="6"/>
      <c r="Z89" s="6"/>
    </row>
    <row r="90">
      <c r="A90" s="6"/>
      <c r="B90" s="6"/>
      <c r="C90" s="6"/>
      <c r="D90" s="6"/>
      <c r="E90" s="6"/>
      <c r="F90" s="6"/>
      <c r="G90" s="6"/>
      <c r="H90" s="6"/>
      <c r="I90" s="9"/>
      <c r="J90" s="6"/>
      <c r="K90" s="6"/>
      <c r="L90" s="6"/>
      <c r="M90" s="6"/>
      <c r="N90" s="6"/>
      <c r="O90" s="6"/>
      <c r="P90" s="6"/>
      <c r="Q90" s="6"/>
      <c r="R90" s="6"/>
      <c r="S90" s="6"/>
      <c r="T90" s="6"/>
      <c r="U90" s="6"/>
      <c r="V90" s="6"/>
      <c r="W90" s="6"/>
      <c r="X90" s="6"/>
      <c r="Y90" s="6"/>
      <c r="Z90" s="6"/>
    </row>
    <row r="91">
      <c r="A91" s="6"/>
      <c r="B91" s="6"/>
      <c r="C91" s="6"/>
      <c r="D91" s="6"/>
      <c r="E91" s="6"/>
      <c r="F91" s="6"/>
      <c r="G91" s="6"/>
      <c r="H91" s="6"/>
      <c r="I91" s="9"/>
      <c r="J91" s="6"/>
      <c r="K91" s="6"/>
      <c r="L91" s="6"/>
      <c r="M91" s="6"/>
      <c r="N91" s="6"/>
      <c r="O91" s="6"/>
      <c r="P91" s="6"/>
      <c r="Q91" s="6"/>
      <c r="R91" s="6"/>
      <c r="S91" s="6"/>
      <c r="T91" s="6"/>
      <c r="U91" s="6"/>
      <c r="V91" s="6"/>
      <c r="W91" s="6"/>
      <c r="X91" s="6"/>
      <c r="Y91" s="6"/>
      <c r="Z91" s="6"/>
    </row>
    <row r="92">
      <c r="A92" s="6"/>
      <c r="B92" s="6"/>
      <c r="C92" s="6"/>
      <c r="D92" s="6"/>
      <c r="E92" s="6"/>
      <c r="F92" s="6"/>
      <c r="G92" s="6"/>
      <c r="H92" s="6"/>
      <c r="I92" s="9"/>
      <c r="J92" s="6"/>
      <c r="K92" s="6"/>
      <c r="L92" s="6"/>
      <c r="M92" s="6"/>
      <c r="N92" s="6"/>
      <c r="O92" s="6"/>
      <c r="P92" s="6"/>
      <c r="Q92" s="6"/>
      <c r="R92" s="6"/>
      <c r="S92" s="6"/>
      <c r="T92" s="6"/>
      <c r="U92" s="6"/>
      <c r="V92" s="6"/>
      <c r="W92" s="6"/>
      <c r="X92" s="6"/>
      <c r="Y92" s="6"/>
      <c r="Z92" s="6"/>
    </row>
    <row r="93">
      <c r="A93" s="6"/>
      <c r="B93" s="6"/>
      <c r="C93" s="6"/>
      <c r="D93" s="6"/>
      <c r="E93" s="6"/>
      <c r="F93" s="6"/>
      <c r="G93" s="6"/>
      <c r="H93" s="6"/>
      <c r="I93" s="9"/>
      <c r="J93" s="6"/>
      <c r="K93" s="6"/>
      <c r="L93" s="6"/>
      <c r="M93" s="6"/>
      <c r="N93" s="6"/>
      <c r="O93" s="6"/>
      <c r="P93" s="6"/>
      <c r="Q93" s="6"/>
      <c r="R93" s="6"/>
      <c r="S93" s="6"/>
      <c r="T93" s="6"/>
      <c r="U93" s="6"/>
      <c r="V93" s="6"/>
      <c r="W93" s="6"/>
      <c r="X93" s="6"/>
      <c r="Y93" s="6"/>
      <c r="Z93" s="6"/>
    </row>
    <row r="94">
      <c r="A94" s="6"/>
      <c r="B94" s="6"/>
      <c r="C94" s="6"/>
      <c r="D94" s="6"/>
      <c r="E94" s="6"/>
      <c r="F94" s="6"/>
      <c r="G94" s="6"/>
      <c r="H94" s="6"/>
      <c r="I94" s="9"/>
      <c r="J94" s="6"/>
      <c r="K94" s="6"/>
      <c r="L94" s="6"/>
      <c r="M94" s="6"/>
      <c r="N94" s="6"/>
      <c r="O94" s="6"/>
      <c r="P94" s="6"/>
      <c r="Q94" s="6"/>
      <c r="R94" s="6"/>
      <c r="S94" s="6"/>
      <c r="T94" s="6"/>
      <c r="U94" s="6"/>
      <c r="V94" s="6"/>
      <c r="W94" s="6"/>
      <c r="X94" s="6"/>
      <c r="Y94" s="6"/>
      <c r="Z94" s="6"/>
    </row>
    <row r="95">
      <c r="A95" s="6"/>
      <c r="B95" s="6"/>
      <c r="C95" s="6"/>
      <c r="D95" s="6"/>
      <c r="E95" s="6"/>
      <c r="F95" s="6"/>
      <c r="G95" s="6"/>
      <c r="H95" s="6"/>
      <c r="I95" s="9"/>
      <c r="J95" s="6"/>
      <c r="K95" s="6"/>
      <c r="L95" s="6"/>
      <c r="M95" s="6"/>
      <c r="N95" s="6"/>
      <c r="O95" s="6"/>
      <c r="P95" s="6"/>
      <c r="Q95" s="6"/>
      <c r="R95" s="6"/>
      <c r="S95" s="6"/>
      <c r="T95" s="6"/>
      <c r="U95" s="6"/>
      <c r="V95" s="6"/>
      <c r="W95" s="6"/>
      <c r="X95" s="6"/>
      <c r="Y95" s="6"/>
      <c r="Z95" s="6"/>
    </row>
    <row r="96">
      <c r="A96" s="6"/>
      <c r="B96" s="6"/>
      <c r="C96" s="6"/>
      <c r="D96" s="6"/>
      <c r="E96" s="6"/>
      <c r="F96" s="6"/>
      <c r="G96" s="6"/>
      <c r="H96" s="6"/>
      <c r="I96" s="9"/>
      <c r="J96" s="6"/>
      <c r="K96" s="6"/>
      <c r="L96" s="6"/>
      <c r="M96" s="6"/>
      <c r="N96" s="6"/>
      <c r="O96" s="6"/>
      <c r="P96" s="6"/>
      <c r="Q96" s="6"/>
      <c r="R96" s="6"/>
      <c r="S96" s="6"/>
      <c r="T96" s="6"/>
      <c r="U96" s="6"/>
      <c r="V96" s="6"/>
      <c r="W96" s="6"/>
      <c r="X96" s="6"/>
      <c r="Y96" s="6"/>
      <c r="Z96" s="6"/>
    </row>
    <row r="97">
      <c r="A97" s="6"/>
      <c r="B97" s="6"/>
      <c r="C97" s="6"/>
      <c r="D97" s="6"/>
      <c r="E97" s="6"/>
      <c r="F97" s="6"/>
      <c r="G97" s="6"/>
      <c r="H97" s="6"/>
      <c r="I97" s="9"/>
      <c r="J97" s="6"/>
      <c r="K97" s="6"/>
      <c r="L97" s="6"/>
      <c r="M97" s="6"/>
      <c r="N97" s="6"/>
      <c r="O97" s="6"/>
      <c r="P97" s="6"/>
      <c r="Q97" s="6"/>
      <c r="R97" s="6"/>
      <c r="S97" s="6"/>
      <c r="T97" s="6"/>
      <c r="U97" s="6"/>
      <c r="V97" s="6"/>
      <c r="W97" s="6"/>
      <c r="X97" s="6"/>
      <c r="Y97" s="6"/>
      <c r="Z97" s="6"/>
    </row>
    <row r="98">
      <c r="A98" s="6"/>
      <c r="B98" s="6"/>
      <c r="C98" s="6"/>
      <c r="D98" s="6"/>
      <c r="E98" s="6"/>
      <c r="F98" s="6"/>
      <c r="G98" s="6"/>
      <c r="H98" s="6"/>
      <c r="I98" s="9"/>
      <c r="J98" s="6"/>
      <c r="K98" s="6"/>
      <c r="L98" s="6"/>
      <c r="M98" s="6"/>
      <c r="N98" s="6"/>
      <c r="O98" s="6"/>
      <c r="P98" s="6"/>
      <c r="Q98" s="6"/>
      <c r="R98" s="6"/>
      <c r="S98" s="6"/>
      <c r="T98" s="6"/>
      <c r="U98" s="6"/>
      <c r="V98" s="6"/>
      <c r="W98" s="6"/>
      <c r="X98" s="6"/>
      <c r="Y98" s="6"/>
      <c r="Z98" s="6"/>
    </row>
    <row r="99">
      <c r="A99" s="6"/>
      <c r="B99" s="6"/>
      <c r="C99" s="6"/>
      <c r="D99" s="6"/>
      <c r="E99" s="6"/>
      <c r="F99" s="6"/>
      <c r="G99" s="6"/>
      <c r="H99" s="6"/>
      <c r="I99" s="9"/>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9"/>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9"/>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9"/>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9"/>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9"/>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9"/>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9"/>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9"/>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9"/>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9"/>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9"/>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9"/>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9"/>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9"/>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9"/>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9"/>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9"/>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9"/>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9"/>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9"/>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9"/>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9"/>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9"/>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9"/>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9"/>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9"/>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9"/>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9"/>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9"/>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9"/>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9"/>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9"/>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9"/>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9"/>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9"/>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9"/>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9"/>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9"/>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9"/>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9"/>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9"/>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9"/>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9"/>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9"/>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9"/>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9"/>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9"/>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9"/>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9"/>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9"/>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9"/>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9"/>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9"/>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9"/>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9"/>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9"/>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9"/>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9"/>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9"/>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9"/>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9"/>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9"/>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9"/>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9"/>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9"/>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9"/>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9"/>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9"/>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9"/>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9"/>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9"/>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9"/>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9"/>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9"/>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9"/>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9"/>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9"/>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9"/>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9"/>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9"/>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9"/>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9"/>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9"/>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9"/>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9"/>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9"/>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9"/>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9"/>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9"/>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9"/>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9"/>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9"/>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9"/>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9"/>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9"/>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9"/>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9"/>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9"/>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9"/>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9"/>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9"/>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9"/>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9"/>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9"/>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9"/>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9"/>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9"/>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9"/>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9"/>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9"/>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9"/>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9"/>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9"/>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9"/>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9"/>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9"/>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9"/>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9"/>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9"/>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9"/>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9"/>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9"/>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9"/>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9"/>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9"/>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9"/>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9"/>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9"/>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9"/>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9"/>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9"/>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9"/>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9"/>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9"/>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9"/>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9"/>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9"/>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9"/>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9"/>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9"/>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9"/>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9"/>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9"/>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9"/>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9"/>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9"/>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9"/>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9"/>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9"/>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9"/>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9"/>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9"/>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9"/>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9"/>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9"/>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9"/>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9"/>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9"/>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9"/>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9"/>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9"/>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9"/>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9"/>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9"/>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9"/>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9"/>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9"/>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9"/>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9"/>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9"/>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9"/>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9"/>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9"/>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9"/>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9"/>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9"/>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9"/>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9"/>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9"/>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9"/>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9"/>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9"/>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9"/>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9"/>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9"/>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9"/>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9"/>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9"/>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9"/>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9"/>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9"/>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9"/>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9"/>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9"/>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9"/>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9"/>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9"/>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9"/>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9"/>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9"/>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9"/>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9"/>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9"/>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9"/>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9"/>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9"/>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9"/>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9"/>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9"/>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9"/>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9"/>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9"/>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9"/>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9"/>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9"/>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9"/>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9"/>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9"/>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9"/>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9"/>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9"/>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9"/>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9"/>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9"/>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9"/>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9"/>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9"/>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9"/>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9"/>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9"/>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9"/>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9"/>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9"/>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9"/>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9"/>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9"/>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9"/>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9"/>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9"/>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9"/>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9"/>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9"/>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9"/>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9"/>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9"/>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9"/>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9"/>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9"/>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9"/>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9"/>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9"/>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9"/>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9"/>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9"/>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9"/>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9"/>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9"/>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9"/>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9"/>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9"/>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9"/>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9"/>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9"/>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9"/>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9"/>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9"/>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9"/>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9"/>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9"/>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9"/>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9"/>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9"/>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9"/>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9"/>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9"/>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9"/>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9"/>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9"/>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9"/>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9"/>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9"/>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9"/>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9"/>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9"/>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9"/>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9"/>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9"/>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9"/>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9"/>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9"/>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9"/>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9"/>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9"/>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9"/>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9"/>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9"/>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9"/>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9"/>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9"/>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9"/>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9"/>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9"/>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9"/>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9"/>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9"/>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9"/>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9"/>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9"/>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9"/>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9"/>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9"/>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9"/>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9"/>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9"/>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9"/>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9"/>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9"/>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9"/>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9"/>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9"/>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9"/>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9"/>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9"/>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9"/>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9"/>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9"/>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9"/>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9"/>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9"/>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9"/>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9"/>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9"/>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9"/>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9"/>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9"/>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9"/>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9"/>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9"/>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9"/>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9"/>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9"/>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9"/>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9"/>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9"/>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9"/>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9"/>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9"/>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9"/>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9"/>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9"/>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9"/>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9"/>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9"/>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9"/>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9"/>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9"/>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9"/>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9"/>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9"/>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9"/>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9"/>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9"/>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9"/>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9"/>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9"/>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9"/>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9"/>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9"/>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9"/>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9"/>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9"/>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9"/>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9"/>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9"/>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9"/>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9"/>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9"/>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9"/>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9"/>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9"/>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9"/>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9"/>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9"/>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9"/>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9"/>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9"/>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9"/>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9"/>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9"/>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9"/>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9"/>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9"/>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9"/>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9"/>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9"/>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9"/>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9"/>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9"/>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9"/>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9"/>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9"/>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9"/>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9"/>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9"/>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9"/>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9"/>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9"/>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9"/>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9"/>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9"/>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9"/>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9"/>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9"/>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9"/>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9"/>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9"/>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9"/>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9"/>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9"/>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9"/>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9"/>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9"/>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9"/>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9"/>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9"/>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9"/>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9"/>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9"/>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9"/>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9"/>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9"/>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9"/>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9"/>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9"/>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9"/>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9"/>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9"/>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9"/>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9"/>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9"/>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9"/>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9"/>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9"/>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9"/>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9"/>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9"/>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9"/>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9"/>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9"/>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9"/>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9"/>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9"/>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9"/>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9"/>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9"/>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9"/>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9"/>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9"/>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9"/>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9"/>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9"/>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9"/>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9"/>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9"/>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9"/>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9"/>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9"/>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9"/>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9"/>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9"/>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9"/>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9"/>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9"/>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9"/>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9"/>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9"/>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9"/>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9"/>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9"/>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9"/>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9"/>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9"/>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9"/>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9"/>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9"/>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9"/>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9"/>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9"/>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9"/>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9"/>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9"/>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9"/>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9"/>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9"/>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9"/>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9"/>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9"/>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9"/>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9"/>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9"/>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9"/>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9"/>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9"/>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9"/>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9"/>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9"/>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9"/>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9"/>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9"/>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9"/>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9"/>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9"/>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9"/>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9"/>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9"/>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9"/>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9"/>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9"/>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9"/>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9"/>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9"/>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9"/>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9"/>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9"/>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9"/>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9"/>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9"/>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9"/>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9"/>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9"/>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9"/>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9"/>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9"/>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9"/>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9"/>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9"/>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9"/>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9"/>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9"/>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9"/>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9"/>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9"/>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9"/>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9"/>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9"/>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9"/>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9"/>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9"/>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9"/>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9"/>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9"/>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9"/>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9"/>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9"/>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9"/>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9"/>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9"/>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9"/>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9"/>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9"/>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9"/>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9"/>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9"/>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9"/>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9"/>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9"/>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9"/>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9"/>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9"/>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9"/>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9"/>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9"/>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9"/>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9"/>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9"/>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9"/>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9"/>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9"/>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9"/>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9"/>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9"/>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9"/>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9"/>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9"/>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9"/>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9"/>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9"/>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9"/>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9"/>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9"/>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9"/>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9"/>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9"/>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9"/>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9"/>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9"/>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9"/>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9"/>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9"/>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9"/>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9"/>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9"/>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9"/>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9"/>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9"/>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9"/>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9"/>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9"/>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9"/>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9"/>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9"/>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9"/>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9"/>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9"/>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9"/>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9"/>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9"/>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9"/>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9"/>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9"/>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9"/>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9"/>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9"/>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9"/>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9"/>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9"/>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9"/>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9"/>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9"/>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9"/>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9"/>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9"/>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9"/>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9"/>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9"/>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9"/>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9"/>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9"/>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9"/>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9"/>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9"/>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9"/>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9"/>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9"/>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9"/>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9"/>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9"/>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9"/>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9"/>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9"/>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9"/>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9"/>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9"/>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9"/>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9"/>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9"/>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9"/>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9"/>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9"/>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9"/>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9"/>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9"/>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9"/>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9"/>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9"/>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9"/>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9"/>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9"/>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9"/>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9"/>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9"/>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9"/>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9"/>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9"/>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9"/>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9"/>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9"/>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9"/>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9"/>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9"/>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9"/>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9"/>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9"/>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9"/>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9"/>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9"/>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9"/>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9"/>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9"/>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9"/>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9"/>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9"/>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9"/>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9"/>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9"/>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9"/>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9"/>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9"/>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9"/>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9"/>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9"/>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9"/>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9"/>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9"/>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9"/>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9"/>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9"/>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9"/>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9"/>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9"/>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9"/>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9"/>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9"/>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9"/>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9"/>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9"/>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9"/>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9"/>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9"/>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9"/>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9"/>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9"/>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9"/>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9"/>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9"/>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9"/>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9"/>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9"/>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9"/>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9"/>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9"/>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9"/>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9"/>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9"/>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9"/>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9"/>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9"/>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9"/>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9"/>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9"/>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9"/>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9"/>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9"/>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9"/>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9"/>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9"/>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9"/>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9"/>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9"/>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9"/>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9"/>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9"/>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9"/>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9"/>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9"/>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9"/>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9"/>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9"/>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9"/>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9"/>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9"/>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9"/>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9"/>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9"/>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9"/>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9"/>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9"/>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9"/>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9"/>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9"/>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9"/>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9"/>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9"/>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9"/>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9"/>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9"/>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9"/>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9"/>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9"/>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9"/>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9"/>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9"/>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9"/>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9"/>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9"/>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9"/>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9"/>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9"/>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9"/>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9"/>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9"/>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9"/>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9"/>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9"/>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9"/>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9"/>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9"/>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9"/>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9"/>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9"/>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9"/>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9"/>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9"/>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9"/>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9"/>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9"/>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9"/>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9"/>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9"/>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9"/>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9"/>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9"/>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9"/>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9"/>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9"/>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9"/>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9"/>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9"/>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9"/>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9"/>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9"/>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9"/>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9"/>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9"/>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9"/>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9"/>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9"/>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9"/>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9"/>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9"/>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9"/>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9"/>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9"/>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9"/>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9"/>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9"/>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9"/>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9"/>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9"/>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9"/>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9"/>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9"/>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9"/>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9"/>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9"/>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9"/>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9"/>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9"/>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9"/>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9"/>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9"/>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9"/>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9"/>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9"/>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9"/>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9"/>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9"/>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9"/>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9"/>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9"/>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9"/>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9"/>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9"/>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9"/>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9"/>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9"/>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9"/>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9"/>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9"/>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9"/>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9"/>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9"/>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9"/>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9"/>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9"/>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9"/>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9"/>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9"/>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9"/>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9"/>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9"/>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9"/>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9"/>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9"/>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9"/>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9"/>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9"/>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9"/>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9"/>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9"/>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9"/>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9"/>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9"/>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9"/>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9"/>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9"/>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9"/>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9"/>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9"/>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9"/>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9"/>
      <c r="J1000" s="6"/>
      <c r="K1000" s="6"/>
      <c r="L1000" s="6"/>
      <c r="M1000" s="6"/>
      <c r="N1000" s="6"/>
      <c r="O1000" s="6"/>
      <c r="P1000" s="6"/>
      <c r="Q1000" s="6"/>
      <c r="R1000" s="6"/>
      <c r="S1000" s="6"/>
      <c r="T1000" s="6"/>
      <c r="U1000" s="6"/>
      <c r="V1000" s="6"/>
      <c r="W1000" s="6"/>
      <c r="X1000" s="6"/>
      <c r="Y1000" s="6"/>
      <c r="Z1000" s="6"/>
    </row>
  </sheetData>
  <customSheetViews>
    <customSheetView guid="{745B3FCF-AC3D-44A5-B441-30536A757640}" filter="1" showAutoFilter="1">
      <autoFilter ref="$A$1:$K$37"/>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25"/>
    <col customWidth="1" min="3" max="3" width="16.5"/>
    <col customWidth="1" min="4" max="4" width="14.75"/>
    <col customWidth="1" min="5" max="5" width="16.0"/>
    <col customWidth="1" min="6" max="6" width="15.13"/>
    <col customWidth="1" min="7" max="7" width="8.75"/>
  </cols>
  <sheetData>
    <row r="1"/>
    <row r="2"/>
    <row r="3"/>
    <row r="4"/>
    <row r="5"/>
    <row r="6"/>
    <row r="7"/>
    <row r="8"/>
    <row r="9"/>
    <row r="10"/>
    <row r="11"/>
    <row r="12"/>
    <row r="13"/>
    <row r="14"/>
    <row r="15"/>
    <row r="20"/>
    <row r="21"/>
    <row r="22"/>
    <row r="23"/>
    <row r="24"/>
    <row r="25"/>
    <row r="26"/>
  </sheetData>
  <drawing r:id="rId4"/>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C1" s="1" t="s">
        <v>2</v>
      </c>
    </row>
    <row r="2">
      <c r="A2" s="3">
        <v>46022.0</v>
      </c>
      <c r="C2" s="1" t="s">
        <v>6</v>
      </c>
    </row>
    <row r="3">
      <c r="C3" s="1" t="s">
        <v>9</v>
      </c>
    </row>
    <row r="4">
      <c r="C4" s="1" t="s">
        <v>11</v>
      </c>
    </row>
    <row r="5">
      <c r="C5" s="1" t="s">
        <v>12</v>
      </c>
    </row>
    <row r="6">
      <c r="C6" s="1" t="s">
        <v>13</v>
      </c>
    </row>
    <row r="7">
      <c r="C7" s="1" t="s">
        <v>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4" max="4" width="16.5"/>
  </cols>
  <sheetData>
    <row r="1">
      <c r="A1" s="1" t="s">
        <v>1</v>
      </c>
      <c r="B1" s="2" t="s">
        <v>3</v>
      </c>
      <c r="D1" s="1" t="s">
        <v>4</v>
      </c>
      <c r="E1" s="1" t="s">
        <v>5</v>
      </c>
      <c r="G1" s="1" t="s">
        <v>7</v>
      </c>
      <c r="H1" s="1" t="s">
        <v>8</v>
      </c>
    </row>
    <row r="2">
      <c r="A2" s="1" t="s">
        <v>10</v>
      </c>
      <c r="B2" s="4">
        <f>IF(Dashboard!$F$2="Todas",COUNTA(Pedidos!A2:A1000),COUNTIF(Pedidos!D2:D1000,Dashboard!$F$2))</f>
        <v>36</v>
      </c>
      <c r="D2" s="1" t="s">
        <v>15</v>
      </c>
      <c r="E2" s="6">
        <f>IF(Dashboard!$F$2="Todas",COUNTIF(Pedidos!$J$2:$J1000,D2),COUNTIFS(Pedidos!$J$2:$J1000,D2,Pedidos!$D$2:$D1000,Dashboard!$F$2))</f>
        <v>18</v>
      </c>
      <c r="G2" s="1" t="s">
        <v>9</v>
      </c>
      <c r="H2" s="6">
        <f>COUNTIFS(Pedidos!$D$2:$D1000,G2,Pedidos!$J$2:$J1000,"Pendente em atraso")</f>
        <v>0</v>
      </c>
    </row>
    <row r="3">
      <c r="A3" s="1" t="s">
        <v>27</v>
      </c>
      <c r="B3" s="4">
        <f>IF(Dashboard!$F$2="Todas",COUNTIF(Pedidos!H2:H1000,"Entregue"),COUNTIFS(Pedidos!H2:H1000,"Entregue",Pedidos!D2:D1000,Dashboard!$F$2))</f>
        <v>29</v>
      </c>
      <c r="D3" s="1" t="s">
        <v>29</v>
      </c>
      <c r="E3" s="6">
        <f>IF(Dashboard!$F$2="Todas",COUNTIF(Pedidos!$J$2:$J1000,D3),COUNTIFS(Pedidos!$J$2:$J1000,D3,Pedidos!$D$2:$D1000,Dashboard!$F$2))</f>
        <v>11</v>
      </c>
      <c r="G3" s="1" t="s">
        <v>11</v>
      </c>
      <c r="H3" s="6">
        <f>COUNTIFS(Pedidos!$D$2:$D1000,G3,Pedidos!$J$2:$J1000,"Pendente em atraso")</f>
        <v>0</v>
      </c>
    </row>
    <row r="4">
      <c r="A4" s="1" t="s">
        <v>30</v>
      </c>
      <c r="B4" s="4">
        <f>IF(Dashboard!$F$2="Todas",COUNTIF(Pedidos!J2:J1000,"Pendente em atraso"),COUNTIFS(Pedidos!J2:J1000,"Pendente em atraso",Pedidos!D2:D1000,Dashboard!$F$2))</f>
        <v>2</v>
      </c>
      <c r="D4" s="1" t="s">
        <v>31</v>
      </c>
      <c r="E4" s="6">
        <f>IF(Dashboard!$F$2="Todas",COUNTIF(Pedidos!$J$2:$J1000,D4),COUNTIFS(Pedidos!$J$2:$J1000,D4,Pedidos!$D$2:$D1000,Dashboard!$F$2))</f>
        <v>2</v>
      </c>
      <c r="G4" s="1" t="s">
        <v>12</v>
      </c>
      <c r="H4" s="6">
        <f>COUNTIFS(Pedidos!$D$2:$D1000,G4,Pedidos!$J$2:$J1000,"Pendente em atraso")</f>
        <v>0</v>
      </c>
    </row>
    <row r="5">
      <c r="A5" s="1" t="s">
        <v>33</v>
      </c>
      <c r="B5" s="4">
        <f>IF(Dashboard!$F$2="Todas",COUNTIF(Pedidos!H2:H1000,"Cancelado"),COUNTIFS(Pedidos!H2:H1000,"Cancelado",Pedidos!D2:D1000,Dashboard!$F$2))</f>
        <v>4</v>
      </c>
      <c r="D5" s="1" t="s">
        <v>34</v>
      </c>
      <c r="E5" s="6">
        <f>IF(Dashboard!$F$2="Todas",COUNTIF(Pedidos!$J$2:$J1000,D5),COUNTIFS(Pedidos!$J$2:$J1000,D5,Pedidos!$D$2:$D1000,Dashboard!$F$2))</f>
        <v>1</v>
      </c>
      <c r="G5" s="1" t="s">
        <v>13</v>
      </c>
      <c r="H5" s="6">
        <f>COUNTIFS(Pedidos!$D$2:$D1000,G5,Pedidos!$J$2:$J1000,"Pendente em atraso")</f>
        <v>1</v>
      </c>
    </row>
    <row r="6">
      <c r="A6" s="1" t="s">
        <v>36</v>
      </c>
      <c r="B6" s="11">
        <f>IF(Dashboard!$F$2="Todas",SUMIF(Pedidos!H2:H1000,"&lt;&gt;Cancelado",Pedidos!E2:E1000),SUMIFS(Pedidos!E2:E1000,Pedidos!H2:H1000,"&lt;&gt;Cancelado",Pedidos!D2:D1000,Dashboard!$F$2))</f>
        <v>30420</v>
      </c>
      <c r="D6" s="1" t="s">
        <v>37</v>
      </c>
      <c r="E6" s="6">
        <f>IF(Dashboard!$F$2="Todas",COUNTIF(Pedidos!$J$2:$J1000,D6),COUNTIFS(Pedidos!$J$2:$J1000,D6,Pedidos!$D$2:$D1000,Dashboard!$F$2))</f>
        <v>4</v>
      </c>
      <c r="G6" s="1" t="s">
        <v>14</v>
      </c>
      <c r="H6" s="6">
        <f>COUNTIFS(Pedidos!$D$2:$D1000,G6,Pedidos!$J$2:$J1000,"Pendente em atraso")</f>
        <v>1</v>
      </c>
    </row>
    <row r="7">
      <c r="A7" s="1" t="s">
        <v>39</v>
      </c>
      <c r="B7" s="12">
        <f>IFERROR(IF(Dashboard!$F$2="Todas",COUNTIF(Pedidos!J2:J1000,"Entregue no prazo"),COUNTIFS(Pedidos!J2:J1000,"Entregue no prazo",Pedidos!D2:D1000,Dashboard!$F$2))/B3,0)</f>
        <v>0.6206896552</v>
      </c>
    </row>
    <row r="8">
      <c r="B8" s="6"/>
    </row>
    <row r="9">
      <c r="B9" s="6"/>
    </row>
    <row r="10">
      <c r="B10" s="6"/>
    </row>
    <row r="11">
      <c r="B11" s="6"/>
    </row>
    <row r="12">
      <c r="A12" s="13"/>
      <c r="B12" s="13"/>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0"/>
    <col customWidth="1" min="2" max="2" width="60.13"/>
    <col customWidth="1" min="3" max="3" width="2.38"/>
    <col customWidth="1" min="4" max="4" width="7.25"/>
    <col customWidth="1" min="5" max="5" width="14.13"/>
    <col customWidth="1" min="6" max="6" width="14.5"/>
    <col customWidth="1" min="7" max="7" width="17.0"/>
    <col customWidth="1" min="8" max="8" width="17.75"/>
    <col customWidth="1" min="10" max="10" width="4.13"/>
  </cols>
  <sheetData>
    <row r="2">
      <c r="B2" s="21" t="s">
        <v>51</v>
      </c>
      <c r="E2" s="22" t="s">
        <v>52</v>
      </c>
      <c r="F2" s="23" t="s">
        <v>6</v>
      </c>
    </row>
    <row r="3">
      <c r="B3" s="24" t="str">
        <f>"Posição em "&amp;TEXT(Listas!A2,"dd/mm/yyyy")&amp;" | Região: "&amp;F2&amp;" | Dados fictícios"</f>
        <v>Posição em 31/12/2025 | Região: Todas | Dados fictícios</v>
      </c>
    </row>
    <row r="5">
      <c r="A5" s="25"/>
      <c r="B5" s="26" t="s">
        <v>10</v>
      </c>
      <c r="C5" s="27"/>
      <c r="D5" s="28"/>
      <c r="E5" s="26" t="s">
        <v>27</v>
      </c>
      <c r="F5" s="27"/>
      <c r="G5" s="28"/>
      <c r="H5" s="29" t="s">
        <v>30</v>
      </c>
      <c r="I5" s="27"/>
      <c r="J5" s="28"/>
      <c r="K5" s="25"/>
      <c r="L5" s="25"/>
      <c r="M5" s="25"/>
      <c r="N5" s="25"/>
      <c r="O5" s="25"/>
      <c r="P5" s="25"/>
      <c r="Q5" s="25"/>
      <c r="R5" s="25"/>
      <c r="S5" s="25"/>
      <c r="T5" s="25"/>
      <c r="U5" s="25"/>
      <c r="V5" s="25"/>
      <c r="W5" s="25"/>
      <c r="X5" s="25"/>
      <c r="Y5" s="25"/>
      <c r="Z5" s="25"/>
    </row>
    <row r="6">
      <c r="A6" s="25"/>
      <c r="B6" s="30">
        <f>Analises!B2</f>
        <v>36</v>
      </c>
      <c r="C6" s="31"/>
      <c r="D6" s="32"/>
      <c r="E6" s="30">
        <f>Analises!B3</f>
        <v>29</v>
      </c>
      <c r="F6" s="31"/>
      <c r="G6" s="32"/>
      <c r="H6" s="33">
        <f>Analises!B4</f>
        <v>2</v>
      </c>
      <c r="I6" s="31"/>
      <c r="J6" s="32"/>
      <c r="K6" s="25"/>
      <c r="L6" s="25"/>
      <c r="M6" s="25"/>
      <c r="N6" s="25"/>
      <c r="O6" s="25"/>
      <c r="P6" s="25"/>
      <c r="Q6" s="25"/>
      <c r="R6" s="25"/>
      <c r="S6" s="25"/>
      <c r="T6" s="25"/>
      <c r="U6" s="25"/>
      <c r="V6" s="25"/>
      <c r="W6" s="25"/>
      <c r="X6" s="25"/>
      <c r="Y6" s="25"/>
      <c r="Z6" s="25"/>
    </row>
    <row r="7">
      <c r="A7" s="25"/>
      <c r="B7" s="25"/>
      <c r="C7" s="25"/>
      <c r="D7" s="25"/>
      <c r="E7" s="25"/>
      <c r="F7" s="25"/>
      <c r="G7" s="25"/>
      <c r="H7" s="25"/>
      <c r="I7" s="25"/>
      <c r="J7" s="25"/>
      <c r="K7" s="25"/>
      <c r="L7" s="25"/>
      <c r="M7" s="25"/>
      <c r="N7" s="25"/>
      <c r="O7" s="25"/>
      <c r="P7" s="25"/>
      <c r="Q7" s="25"/>
      <c r="R7" s="25"/>
      <c r="S7" s="25"/>
      <c r="T7" s="25"/>
      <c r="U7" s="25"/>
      <c r="V7" s="25"/>
      <c r="W7" s="25"/>
      <c r="X7" s="25"/>
      <c r="Y7" s="25"/>
      <c r="Z7" s="25"/>
    </row>
    <row r="8">
      <c r="A8" s="25"/>
      <c r="B8" s="26" t="s">
        <v>33</v>
      </c>
      <c r="C8" s="27"/>
      <c r="D8" s="28"/>
      <c r="E8" s="26" t="s">
        <v>53</v>
      </c>
      <c r="F8" s="27"/>
      <c r="G8" s="28"/>
      <c r="H8" s="29" t="s">
        <v>54</v>
      </c>
      <c r="I8" s="27"/>
      <c r="J8" s="28"/>
      <c r="K8" s="25"/>
      <c r="L8" s="25"/>
      <c r="M8" s="25"/>
      <c r="N8" s="25"/>
      <c r="O8" s="25"/>
      <c r="P8" s="25"/>
      <c r="Q8" s="25"/>
      <c r="R8" s="25"/>
      <c r="S8" s="25"/>
      <c r="T8" s="25"/>
      <c r="U8" s="25"/>
      <c r="V8" s="25"/>
      <c r="W8" s="25"/>
      <c r="X8" s="25"/>
      <c r="Y8" s="25"/>
      <c r="Z8" s="25"/>
    </row>
    <row r="9">
      <c r="A9" s="25"/>
      <c r="B9" s="30">
        <f>Analises!B5</f>
        <v>4</v>
      </c>
      <c r="C9" s="31"/>
      <c r="D9" s="32"/>
      <c r="E9" s="36">
        <f>Analises!B6</f>
        <v>30420</v>
      </c>
      <c r="F9" s="31"/>
      <c r="G9" s="32"/>
      <c r="H9" s="38">
        <f>Analises!B7</f>
        <v>0.6206896552</v>
      </c>
      <c r="I9" s="31"/>
      <c r="J9" s="32"/>
      <c r="K9" s="25"/>
      <c r="L9" s="25"/>
      <c r="M9" s="25"/>
      <c r="N9" s="25"/>
      <c r="O9" s="25"/>
      <c r="P9" s="25"/>
      <c r="Q9" s="25"/>
      <c r="R9" s="25"/>
      <c r="S9" s="25"/>
      <c r="T9" s="25"/>
      <c r="U9" s="25"/>
      <c r="V9" s="25"/>
      <c r="W9" s="25"/>
      <c r="X9" s="25"/>
      <c r="Y9" s="25"/>
      <c r="Z9" s="25"/>
    </row>
    <row r="30">
      <c r="B30" s="24" t="s">
        <v>83</v>
      </c>
    </row>
    <row r="31">
      <c r="B31" s="1" t="s">
        <v>89</v>
      </c>
    </row>
  </sheetData>
  <mergeCells count="15">
    <mergeCell ref="B6:D6"/>
    <mergeCell ref="B8:D8"/>
    <mergeCell ref="E8:G8"/>
    <mergeCell ref="H8:J8"/>
    <mergeCell ref="B9:D9"/>
    <mergeCell ref="E9:G9"/>
    <mergeCell ref="H9:J9"/>
    <mergeCell ref="B31:D31"/>
    <mergeCell ref="B2:D2"/>
    <mergeCell ref="B3:J3"/>
    <mergeCell ref="B5:D5"/>
    <mergeCell ref="E5:G5"/>
    <mergeCell ref="H5:J5"/>
    <mergeCell ref="E6:G6"/>
    <mergeCell ref="H6:J6"/>
  </mergeCells>
  <conditionalFormatting sqref="H6">
    <cfRule type="cellIs" dxfId="1" priority="1" operator="greaterThan">
      <formula>0</formula>
    </cfRule>
  </conditionalFormatting>
  <dataValidations>
    <dataValidation type="list" allowBlank="1" showErrorMessage="1" sqref="F2">
      <formula1>Listas!$C$2:$C$7</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78.5"/>
  </cols>
  <sheetData>
    <row r="1">
      <c r="A1" s="34" t="s">
        <v>55</v>
      </c>
      <c r="B1" s="34" t="s">
        <v>56</v>
      </c>
    </row>
    <row r="2">
      <c r="A2" s="35" t="s">
        <v>57</v>
      </c>
      <c r="B2" s="1" t="s">
        <v>58</v>
      </c>
    </row>
    <row r="3">
      <c r="A3" s="35" t="s">
        <v>59</v>
      </c>
      <c r="B3" s="35" t="s">
        <v>60</v>
      </c>
    </row>
    <row r="4">
      <c r="A4" s="35" t="s">
        <v>61</v>
      </c>
      <c r="B4" s="35" t="s">
        <v>62</v>
      </c>
    </row>
    <row r="5">
      <c r="A5" s="35" t="s">
        <v>63</v>
      </c>
      <c r="B5" s="1" t="s">
        <v>64</v>
      </c>
    </row>
    <row r="6">
      <c r="A6" s="35" t="s">
        <v>0</v>
      </c>
      <c r="B6" s="37">
        <v>46022.0</v>
      </c>
    </row>
    <row r="7">
      <c r="A7" s="35" t="s">
        <v>10</v>
      </c>
      <c r="B7" s="35" t="s">
        <v>65</v>
      </c>
    </row>
    <row r="8">
      <c r="A8" s="35" t="s">
        <v>27</v>
      </c>
      <c r="B8" s="35" t="s">
        <v>66</v>
      </c>
    </row>
    <row r="9">
      <c r="A9" s="35" t="s">
        <v>30</v>
      </c>
      <c r="B9" s="35" t="s">
        <v>67</v>
      </c>
    </row>
    <row r="10">
      <c r="A10" s="35" t="s">
        <v>33</v>
      </c>
      <c r="B10" s="35" t="s">
        <v>69</v>
      </c>
    </row>
    <row r="11">
      <c r="A11" s="35" t="s">
        <v>53</v>
      </c>
      <c r="B11" s="35" t="s">
        <v>70</v>
      </c>
    </row>
    <row r="12">
      <c r="A12" s="35" t="s">
        <v>54</v>
      </c>
      <c r="B12" s="35" t="s">
        <v>71</v>
      </c>
    </row>
    <row r="13">
      <c r="A13" s="39" t="s">
        <v>72</v>
      </c>
      <c r="B13" s="35" t="s">
        <v>73</v>
      </c>
    </row>
    <row r="14">
      <c r="A14" s="35" t="s">
        <v>74</v>
      </c>
      <c r="B14" s="35" t="s">
        <v>75</v>
      </c>
    </row>
    <row r="15">
      <c r="A15" s="35" t="s">
        <v>76</v>
      </c>
      <c r="B15" s="35" t="s">
        <v>77</v>
      </c>
    </row>
    <row r="17">
      <c r="A17" s="40" t="s">
        <v>78</v>
      </c>
      <c r="B17" s="40" t="s">
        <v>79</v>
      </c>
    </row>
    <row r="18">
      <c r="A18" s="35" t="s">
        <v>80</v>
      </c>
      <c r="B18" s="35" t="s">
        <v>81</v>
      </c>
    </row>
    <row r="19">
      <c r="A19" s="35" t="s">
        <v>82</v>
      </c>
      <c r="B19" s="35" t="s">
        <v>84</v>
      </c>
    </row>
    <row r="20">
      <c r="A20" s="35" t="s">
        <v>85</v>
      </c>
      <c r="B20" s="35" t="s">
        <v>86</v>
      </c>
    </row>
    <row r="21">
      <c r="A21" s="35" t="s">
        <v>87</v>
      </c>
      <c r="B21" s="35" t="s">
        <v>88</v>
      </c>
    </row>
    <row r="22">
      <c r="A22" s="35" t="s">
        <v>90</v>
      </c>
      <c r="B22" s="35" t="s">
        <v>91</v>
      </c>
    </row>
    <row r="23">
      <c r="A23" s="35" t="s">
        <v>92</v>
      </c>
      <c r="B23" s="35" t="s">
        <v>93</v>
      </c>
    </row>
  </sheetData>
  <drawing r:id="rId1"/>
</worksheet>
</file>