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Listas" sheetId="2" r:id="rId6"/>
    <sheet state="visible" name="Analises" sheetId="3" r:id="rId7"/>
    <sheet state="visible" name="Dashboard" sheetId="4" r:id="rId8"/>
    <sheet state="visible" name="Sobre" sheetId="5" r:id="rId9"/>
  </sheets>
  <definedNames/>
  <calcPr/>
</workbook>
</file>

<file path=xl/sharedStrings.xml><?xml version="1.0" encoding="utf-8"?>
<sst xmlns="http://schemas.openxmlformats.org/spreadsheetml/2006/main" count="128" uniqueCount="89">
  <si>
    <t>Indicador</t>
  </si>
  <si>
    <t>Data de referência</t>
  </si>
  <si>
    <t>Pedido</t>
  </si>
  <si>
    <t>Regioes</t>
  </si>
  <si>
    <t>Valor</t>
  </si>
  <si>
    <t>Data_Pedido</t>
  </si>
  <si>
    <t>Cliente</t>
  </si>
  <si>
    <t>Regiao</t>
  </si>
  <si>
    <t>Situacao</t>
  </si>
  <si>
    <t>Todas</t>
  </si>
  <si>
    <t>Valor_Pedido</t>
  </si>
  <si>
    <t>Data_Prevista</t>
  </si>
  <si>
    <t>Sudeste</t>
  </si>
  <si>
    <t>Data_Entrega</t>
  </si>
  <si>
    <t>Quantidade</t>
  </si>
  <si>
    <t>Status</t>
  </si>
  <si>
    <t>Sul</t>
  </si>
  <si>
    <t>Nordeste</t>
  </si>
  <si>
    <t>Dias_Atraso</t>
  </si>
  <si>
    <t>Pendentes_em_atraso</t>
  </si>
  <si>
    <t>Centro-Oeste</t>
  </si>
  <si>
    <t>Norte</t>
  </si>
  <si>
    <t>Total de pedidos</t>
  </si>
  <si>
    <t>Situacao_Entrega</t>
  </si>
  <si>
    <t>Cliente A</t>
  </si>
  <si>
    <t>Entregue</t>
  </si>
  <si>
    <t>Entregue no prazo</t>
  </si>
  <si>
    <t>Cliente B</t>
  </si>
  <si>
    <t>Pedidos entregues</t>
  </si>
  <si>
    <t>Cliente C</t>
  </si>
  <si>
    <t>Entregue com atraso</t>
  </si>
  <si>
    <t>Cliente D</t>
  </si>
  <si>
    <t>Cliente E</t>
  </si>
  <si>
    <t>Pendentes em atraso</t>
  </si>
  <si>
    <t>Cliente F</t>
  </si>
  <si>
    <t>Item</t>
  </si>
  <si>
    <t>Descrição</t>
  </si>
  <si>
    <t>Pendente em atraso</t>
  </si>
  <si>
    <t>Projeto</t>
  </si>
  <si>
    <t>Dashboard de Pedidos e Entregas</t>
  </si>
  <si>
    <t>Autor</t>
  </si>
  <si>
    <t>Caio Siqueira</t>
  </si>
  <si>
    <t>Objetivo</t>
  </si>
  <si>
    <t>Acompanhar pedidos, entregas e atrasos por região.</t>
  </si>
  <si>
    <t>Fonte</t>
  </si>
  <si>
    <t>Dados fictícios criados para estudo e portfólio.</t>
  </si>
  <si>
    <t>Cliente G</t>
  </si>
  <si>
    <t>Quantidade de pedidos, incluindo cancelados.</t>
  </si>
  <si>
    <t>Pedidos com status Entregue.</t>
  </si>
  <si>
    <t>Pedidos não entregues cuja data prevista já passou.</t>
  </si>
  <si>
    <t>Pedidos cancelados</t>
  </si>
  <si>
    <t>Pedidos com status Cancelado.</t>
  </si>
  <si>
    <t>Valor não cancelado</t>
  </si>
  <si>
    <t>Soma do valor dos pedidos não cancelados; inclui pedidos pendentes e não representa receita recebida.</t>
  </si>
  <si>
    <t>Entregas no prazo</t>
  </si>
  <si>
    <t>Percentual de entregas realizadas até a data prevista, considerando apenas os pedidos entregues.</t>
  </si>
  <si>
    <t>Filtro de região</t>
  </si>
  <si>
    <t>Atualiza os cartões e o gráfico de situações de entrega.</t>
  </si>
  <si>
    <t>Visão geral por região</t>
  </si>
  <si>
    <t>O gráfico de pendentes em atraso por região permanece mostrando todas as regiões.</t>
  </si>
  <si>
    <t>Limitação</t>
  </si>
  <si>
    <t>Base pequena e fictícia; não permite determinar as causas dos atrasos.</t>
  </si>
  <si>
    <t>Análise</t>
  </si>
  <si>
    <t>Resultado</t>
  </si>
  <si>
    <t>Entregas</t>
  </si>
  <si>
    <t>8 dos 12 pedidos foram entregues. Desses 8, 5 chegaram no prazo e 3 com atraso.</t>
  </si>
  <si>
    <t>Pontualidade</t>
  </si>
  <si>
    <t>62,50% dos pedidos entregues chegaram no prazo.</t>
  </si>
  <si>
    <t>Cliente H</t>
  </si>
  <si>
    <t>Pendências</t>
  </si>
  <si>
    <t>Existem 2 pedidos pendentes em atraso na data de referência: um no Sudeste e outro no Nordeste.</t>
  </si>
  <si>
    <t>Cancelamentos</t>
  </si>
  <si>
    <t>1 dos 12 pedidos foi cancelado.</t>
  </si>
  <si>
    <t>Valor dos pedidos</t>
  </si>
  <si>
    <t>Os pedidos não cancelados somam R$ 8.430,00, incluindo os ainda pendentes.</t>
  </si>
  <si>
    <t>Próximo passo sugerido</t>
  </si>
  <si>
    <t>Investigar os motivos dos atrasos. A base disponível não permite determinar suas causas.</t>
  </si>
  <si>
    <t>Cliente I</t>
  </si>
  <si>
    <t>Em transporte</t>
  </si>
  <si>
    <t>Pendente no prazo</t>
  </si>
  <si>
    <t>Cliente J</t>
  </si>
  <si>
    <t>Cliente K</t>
  </si>
  <si>
    <t>Em preparação</t>
  </si>
  <si>
    <t>Cliente L</t>
  </si>
  <si>
    <t>Cancelado</t>
  </si>
  <si>
    <t>Valor dos pedidos não cancelados</t>
  </si>
  <si>
    <t>Entregas no prazo (%)</t>
  </si>
  <si>
    <t>DASHBOARD DE PEDIDOS E ENTREGAS</t>
  </si>
  <si>
    <t>Região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</si>
</sst>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8.0"/>
      <color theme="1"/>
      <name val="Arial"/>
      <scheme val="minor"/>
    </font>
    <font>
      <sz val="11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left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2" fontId="2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6" xfId="0" applyAlignment="1" applyFont="1" applyNumberFormat="1">
      <alignment horizontal="left" readingOrder="0" shrinkToFit="0" wrapText="1"/>
    </xf>
    <xf borderId="0" fillId="2" fontId="3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readingOrder="0" vertical="center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2" fillId="2" fontId="2" numFmtId="0" xfId="0" applyAlignment="1" applyBorder="1" applyFill="1" applyFont="1">
      <alignment horizontal="center" readingOrder="0" vertical="center"/>
    </xf>
    <xf borderId="4" fillId="2" fontId="4" numFmtId="3" xfId="0" applyAlignment="1" applyBorder="1" applyFill="1" applyFont="1" applyNumberForma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5" fillId="2" fontId="4" numFmtId="3" xfId="0" applyAlignment="1" applyBorder="1" applyFill="1" applyFont="1" applyNumberFormat="1">
      <alignment horizontal="center" vertical="center"/>
    </xf>
    <xf borderId="4" fillId="2" fontId="4" numFmtId="165" xfId="0" applyAlignment="1" applyBorder="1" applyFill="1" applyFont="1" applyNumberFormat="1">
      <alignment horizontal="center" vertical="center"/>
    </xf>
    <xf borderId="5" fillId="2" fontId="4" numFmtId="10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1">
    <dxf>
      <font>
        <b/>
        <color rgb="FFEA433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Pedidos por Situação de Entrega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Analises!$E$1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Analises!$D$2:$D$6</c:f>
            </c:strRef>
          </c:cat>
          <c:val>
            <c:numRef>
              <c:f>Analises!$E$2:$E$6</c:f>
              <c:numCache/>
            </c:numRef>
          </c:val>
        </c:ser>
        <c:axId val="470005349"/>
        <c:axId val="296038069"/>
      </c:barChart>
      <c:catAx>
        <c:axId val="4700053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Situacao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038069"/>
      </c:catAx>
      <c:valAx>
        <c:axId val="2960380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005349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Pendentes em Atraso por Região | Visão Geral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Analises!$H$1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Analises!$G$2:$G$6</c:f>
            </c:strRef>
          </c:cat>
          <c:val>
            <c:numRef>
              <c:f>Analises!$H$2:$H$6</c:f>
              <c:numCache/>
            </c:numRef>
          </c:val>
        </c:ser>
        <c:axId val="1022086647"/>
        <c:axId val="747562783"/>
      </c:barChart>
      <c:catAx>
        <c:axId val="1022086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562783"/>
      </c:catAx>
      <c:valAx>
        <c:axId val="747562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Pendentes_em_atraso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086647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10</xdr:row>
      <xdr:rowOff>200025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923925</xdr:colOff>
      <xdr:row>10</xdr:row>
      <xdr:rowOff>200025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75"/>
  </cols>
  <sheetData>
    <row r="1">
      <c r="A1" s="2" t="s">
        <v>2</v>
      </c>
      <c r="B1" s="2" t="s">
        <v>5</v>
      </c>
      <c r="C1" s="2" t="s">
        <v>6</v>
      </c>
      <c r="D1" s="2" t="s">
        <v>7</v>
      </c>
      <c r="E1" s="2" t="s">
        <v>10</v>
      </c>
      <c r="F1" s="2" t="s">
        <v>11</v>
      </c>
      <c r="G1" s="2" t="s">
        <v>13</v>
      </c>
      <c r="H1" s="2" t="s">
        <v>15</v>
      </c>
      <c r="I1" s="4" t="s">
        <v>18</v>
      </c>
      <c r="J1" s="2" t="s">
        <v>23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>
        <v>1001.0</v>
      </c>
      <c r="B2" s="6">
        <v>46027.0</v>
      </c>
      <c r="C2" s="2" t="s">
        <v>24</v>
      </c>
      <c r="D2" s="2" t="s">
        <v>12</v>
      </c>
      <c r="E2" s="7">
        <v>450.0</v>
      </c>
      <c r="F2" s="6">
        <v>46032.0</v>
      </c>
      <c r="G2" s="6">
        <v>46031.0</v>
      </c>
      <c r="H2" s="2" t="s">
        <v>25</v>
      </c>
      <c r="I2" s="9">
        <f>IF(H2="Cancelado","",IF(G2&lt;&gt;"",MAX(G2-F2,0),MAX(Listas!$A$2-F2,0)))</f>
        <v>0</v>
      </c>
      <c r="J2" s="5" t="str">
        <f t="shared" ref="J2:J13" si="1">IF(H2="Cancelado","Cancelado",IF(G2&lt;&gt;"",IF(I2&gt;0,"Entregue com atraso","Entregue no prazo"),IF(I2&gt;0,"Pendente em atraso","Pendente no prazo")))</f>
        <v>Entregue no prazo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>
        <v>1002.0</v>
      </c>
      <c r="B3" s="6">
        <v>46029.0</v>
      </c>
      <c r="C3" s="2" t="s">
        <v>27</v>
      </c>
      <c r="D3" s="2" t="s">
        <v>16</v>
      </c>
      <c r="E3" s="7">
        <v>780.0</v>
      </c>
      <c r="F3" s="6">
        <v>46034.0</v>
      </c>
      <c r="G3" s="6">
        <v>46036.0</v>
      </c>
      <c r="H3" s="2" t="s">
        <v>25</v>
      </c>
      <c r="I3" s="9">
        <f>IF(H3="Cancelado","",IF(G3&lt;&gt;"",MAX(G3-F3,0),MAX(Listas!$A$2-F3,0)))</f>
        <v>2</v>
      </c>
      <c r="J3" s="5" t="str">
        <f t="shared" si="1"/>
        <v>Entregue com atraso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>
        <v>1003.0</v>
      </c>
      <c r="B4" s="6">
        <v>46032.0</v>
      </c>
      <c r="C4" s="2" t="s">
        <v>29</v>
      </c>
      <c r="D4" s="2" t="s">
        <v>17</v>
      </c>
      <c r="E4" s="7">
        <v>320.0</v>
      </c>
      <c r="F4" s="6">
        <v>46038.0</v>
      </c>
      <c r="G4" s="6">
        <v>46038.0</v>
      </c>
      <c r="H4" s="2" t="s">
        <v>25</v>
      </c>
      <c r="I4" s="9">
        <f>IF(H4="Cancelado","",IF(G4&lt;&gt;"",MAX(G4-F4,0),MAX(Listas!$A$2-F4,0)))</f>
        <v>0</v>
      </c>
      <c r="J4" s="5" t="str">
        <f t="shared" si="1"/>
        <v>Entregue no prazo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>
        <v>1004.0</v>
      </c>
      <c r="B5" s="6">
        <v>46036.0</v>
      </c>
      <c r="C5" s="2" t="s">
        <v>31</v>
      </c>
      <c r="D5" s="2" t="s">
        <v>12</v>
      </c>
      <c r="E5" s="7">
        <v>1200.0</v>
      </c>
      <c r="F5" s="6">
        <v>46042.0</v>
      </c>
      <c r="G5" s="6">
        <v>46045.0</v>
      </c>
      <c r="H5" s="2" t="s">
        <v>25</v>
      </c>
      <c r="I5" s="9">
        <f>IF(H5="Cancelado","",IF(G5&lt;&gt;"",MAX(G5-F5,0),MAX(Listas!$A$2-F5,0)))</f>
        <v>3</v>
      </c>
      <c r="J5" s="5" t="str">
        <f t="shared" si="1"/>
        <v>Entregue com atraso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>
        <v>1005.0</v>
      </c>
      <c r="B6" s="6">
        <v>46041.0</v>
      </c>
      <c r="C6" s="2" t="s">
        <v>32</v>
      </c>
      <c r="D6" s="2" t="s">
        <v>20</v>
      </c>
      <c r="E6" s="7">
        <v>560.0</v>
      </c>
      <c r="F6" s="6">
        <v>46048.0</v>
      </c>
      <c r="G6" s="6">
        <v>46047.0</v>
      </c>
      <c r="H6" s="2" t="s">
        <v>25</v>
      </c>
      <c r="I6" s="9">
        <f>IF(H6="Cancelado","",IF(G6&lt;&gt;"",MAX(G6-F6,0),MAX(Listas!$A$2-F6,0)))</f>
        <v>0</v>
      </c>
      <c r="J6" s="5" t="str">
        <f t="shared" si="1"/>
        <v>Entregue no prazo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>
        <v>1006.0</v>
      </c>
      <c r="B7" s="6">
        <v>46047.0</v>
      </c>
      <c r="C7" s="2" t="s">
        <v>34</v>
      </c>
      <c r="D7" s="2" t="s">
        <v>21</v>
      </c>
      <c r="E7" s="7">
        <v>890.0</v>
      </c>
      <c r="F7" s="6">
        <v>46055.0</v>
      </c>
      <c r="G7" s="6">
        <v>46054.0</v>
      </c>
      <c r="H7" s="2" t="s">
        <v>25</v>
      </c>
      <c r="I7" s="9">
        <f>IF(H7="Cancelado","",IF(G7&lt;&gt;"",MAX(G7-F7,0),MAX(Listas!$A$2-F7,0)))</f>
        <v>0</v>
      </c>
      <c r="J7" s="5" t="str">
        <f t="shared" si="1"/>
        <v>Entregue no prazo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>
        <v>1007.0</v>
      </c>
      <c r="B8" s="6">
        <v>46056.0</v>
      </c>
      <c r="C8" s="2" t="s">
        <v>46</v>
      </c>
      <c r="D8" s="2" t="s">
        <v>12</v>
      </c>
      <c r="E8" s="7">
        <v>650.0</v>
      </c>
      <c r="F8" s="6">
        <v>46062.0</v>
      </c>
      <c r="G8" s="6">
        <v>46062.0</v>
      </c>
      <c r="H8" s="2" t="s">
        <v>25</v>
      </c>
      <c r="I8" s="9">
        <f>IF(H8="Cancelado","",IF(G8&lt;&gt;"",MAX(G8-F8,0),MAX(Listas!$A$2-F8,0)))</f>
        <v>0</v>
      </c>
      <c r="J8" s="5" t="str">
        <f t="shared" si="1"/>
        <v>Entregue no prazo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>
        <v>1008.0</v>
      </c>
      <c r="B9" s="6">
        <v>46061.0</v>
      </c>
      <c r="C9" s="2" t="s">
        <v>68</v>
      </c>
      <c r="D9" s="2" t="s">
        <v>16</v>
      </c>
      <c r="E9" s="7">
        <v>940.0</v>
      </c>
      <c r="F9" s="6">
        <v>46068.0</v>
      </c>
      <c r="G9" s="6">
        <v>46071.0</v>
      </c>
      <c r="H9" s="2" t="s">
        <v>25</v>
      </c>
      <c r="I9" s="9">
        <f>IF(H9="Cancelado","",IF(G9&lt;&gt;"",MAX(G9-F9,0),MAX(Listas!$A$2-F9,0)))</f>
        <v>3</v>
      </c>
      <c r="J9" s="5" t="str">
        <f t="shared" si="1"/>
        <v>Entregue com atraso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>
        <v>1009.0</v>
      </c>
      <c r="B10" s="6">
        <v>46065.0</v>
      </c>
      <c r="C10" s="2" t="s">
        <v>77</v>
      </c>
      <c r="D10" s="2" t="s">
        <v>17</v>
      </c>
      <c r="E10" s="7">
        <v>410.0</v>
      </c>
      <c r="F10" s="6">
        <v>46072.0</v>
      </c>
      <c r="G10" s="14"/>
      <c r="H10" s="2" t="s">
        <v>78</v>
      </c>
      <c r="I10" s="9">
        <f>IF(H10="Cancelado","",IF(G10&lt;&gt;"",MAX(G10-F10,0),MAX(Listas!$A$2-F10,0)))</f>
        <v>9</v>
      </c>
      <c r="J10" s="5" t="str">
        <f t="shared" si="1"/>
        <v>Pendente em atraso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>
        <v>1010.0</v>
      </c>
      <c r="B11" s="6">
        <v>46070.0</v>
      </c>
      <c r="C11" s="2" t="s">
        <v>80</v>
      </c>
      <c r="D11" s="2" t="s">
        <v>12</v>
      </c>
      <c r="E11" s="7">
        <v>1500.0</v>
      </c>
      <c r="F11" s="6">
        <v>46077.0</v>
      </c>
      <c r="G11" s="14"/>
      <c r="H11" s="2" t="s">
        <v>78</v>
      </c>
      <c r="I11" s="9">
        <f>IF(H11="Cancelado","",IF(G11&lt;&gt;"",MAX(G11-F11,0),MAX(Listas!$A$2-F11,0)))</f>
        <v>4</v>
      </c>
      <c r="J11" s="5" t="str">
        <f t="shared" si="1"/>
        <v>Pendente em atraso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>
        <v>1011.0</v>
      </c>
      <c r="B12" s="6">
        <v>46075.0</v>
      </c>
      <c r="C12" s="2" t="s">
        <v>81</v>
      </c>
      <c r="D12" s="2" t="s">
        <v>20</v>
      </c>
      <c r="E12" s="7">
        <v>730.0</v>
      </c>
      <c r="F12" s="6">
        <v>46081.0</v>
      </c>
      <c r="G12" s="14"/>
      <c r="H12" s="2" t="s">
        <v>82</v>
      </c>
      <c r="I12" s="9">
        <f>IF(H12="Cancelado","",IF(G12&lt;&gt;"",MAX(G12-F12,0),MAX(Listas!$A$2-F12,0)))</f>
        <v>0</v>
      </c>
      <c r="J12" s="5" t="str">
        <f t="shared" si="1"/>
        <v>Pendente no prazo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>
        <v>1012.0</v>
      </c>
      <c r="B13" s="6">
        <v>46079.0</v>
      </c>
      <c r="C13" s="2" t="s">
        <v>83</v>
      </c>
      <c r="D13" s="2" t="s">
        <v>21</v>
      </c>
      <c r="E13" s="7">
        <v>280.0</v>
      </c>
      <c r="F13" s="6">
        <v>46086.0</v>
      </c>
      <c r="G13" s="14"/>
      <c r="H13" s="2" t="s">
        <v>84</v>
      </c>
      <c r="I13" s="9" t="str">
        <f>IF(H13="Cancelado","",IF(G13&lt;&gt;"",MAX(G13-F13,0),MAX(Listas!$A$2-F13,0)))</f>
        <v/>
      </c>
      <c r="J13" s="5" t="str">
        <f t="shared" si="1"/>
        <v>Cancelado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9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9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9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9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9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9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9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9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9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9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9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9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9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9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9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9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9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9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9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9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9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9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9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9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9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9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9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9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9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9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9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9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9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9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9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9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9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9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9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9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9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9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9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9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9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9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9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9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9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9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9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9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9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9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9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9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9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9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9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9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9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9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9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9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9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9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9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9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9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9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9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9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9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9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9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9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9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9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9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9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9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9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9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9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9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9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9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9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9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9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9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9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9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9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9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9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9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9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9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9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9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9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9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9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9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9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9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9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9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9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9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9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9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9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9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9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9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9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9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9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9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9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9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9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9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9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9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9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9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9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9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9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9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9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9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9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9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9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9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9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9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9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9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9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9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9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9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9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9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9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9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9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9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9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9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9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9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9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9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9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9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9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9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9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9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9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9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9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9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9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9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9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9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9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9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9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9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9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9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9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9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9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9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9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9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9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9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9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9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9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9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9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9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9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9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9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9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9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9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9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9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9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9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9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9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9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9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9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9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9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9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9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9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9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9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9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9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9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9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9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9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9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9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9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9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9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9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9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9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9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9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9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9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9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9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9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9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9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9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9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9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9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9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9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9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9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9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9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9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9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9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9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9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9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9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9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9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9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9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9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9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9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9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9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9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9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9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9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9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9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9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9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9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9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9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9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9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9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9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9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9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9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9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9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9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9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9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9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9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9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9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9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9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9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9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9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9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9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9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9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9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9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9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9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9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9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9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9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9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9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9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9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9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9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9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9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9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9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9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9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9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9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9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9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9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9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9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9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9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9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9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9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9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9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9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9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9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9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9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9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9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9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9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9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9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9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9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9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9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9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9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9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9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9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9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9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9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9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9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9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9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9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9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9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9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9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9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9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9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9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9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9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9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9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9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9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9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9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9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9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9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9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9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9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9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9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9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9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9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9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9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9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9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9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9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9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9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9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9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9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9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9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9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9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9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9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9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9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9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9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9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9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9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9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9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9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9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9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9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9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9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9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9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9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9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9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9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9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9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9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9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9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9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9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9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9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9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9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9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9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9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9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9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9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9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9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9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9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9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9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9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9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9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9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9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9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9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9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9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9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9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9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9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9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9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9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9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9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9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9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9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9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9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9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9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9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9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9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9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9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9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9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9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9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9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9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9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9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9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9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9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9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9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9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9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9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9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9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9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9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9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9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9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9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9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9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9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9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9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9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9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9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9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9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9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9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9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9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9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9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9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9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9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9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9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9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9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9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9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9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9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9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9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9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9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9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9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9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9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9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9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9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9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9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9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9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9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9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9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9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9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9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9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9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9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9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9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9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9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9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9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9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9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9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9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9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9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9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9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9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9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9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9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9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9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9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9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9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9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9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9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9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9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9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9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9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9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9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9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9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9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9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9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9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9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9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9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9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9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9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9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9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9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9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9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9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9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9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9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9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9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9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9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9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9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9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9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9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9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9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9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9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9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9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9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9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9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9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9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9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9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9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9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9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9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9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9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9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9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9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9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9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9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9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9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9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9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9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9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9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9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9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9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9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9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9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9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9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9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9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9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9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9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9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9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9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9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9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9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9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9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9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9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9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9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9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9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9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9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9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9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9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9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9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9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9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9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9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9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9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9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9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9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9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9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9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9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9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9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9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9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9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9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9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9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9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9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9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9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9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9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9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9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9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9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9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9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9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9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9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9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9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9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9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9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9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9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9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9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9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9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9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9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9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9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9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9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9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9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9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9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9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9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9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9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9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9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9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9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9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9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9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9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9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9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9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9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9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9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9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9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9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9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9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9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9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9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9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9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9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9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9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9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9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9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9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9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9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9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9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9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9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9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9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9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9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9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9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9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9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9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9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9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9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9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9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9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9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9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9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9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9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9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9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9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9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9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9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9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9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9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9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9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9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9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9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9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9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9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9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9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9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9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9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9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9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9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9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9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9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9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9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9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9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9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9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9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9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9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9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9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9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9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9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9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9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9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9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9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9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9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9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9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9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9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9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9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9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9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9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9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9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9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9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9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9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9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9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9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9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9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9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9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9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9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9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9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9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9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9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9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9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9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9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9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9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9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9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9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9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9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9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9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9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9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9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9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9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9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9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9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9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9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9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9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9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9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9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9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9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9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9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9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9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9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9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9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9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9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9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9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9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9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9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9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9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9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9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9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9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9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9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9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9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9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9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9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9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9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9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9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9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9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9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9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9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9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9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9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9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9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9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9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9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9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9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9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9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C1" s="1" t="s">
        <v>3</v>
      </c>
    </row>
    <row r="2">
      <c r="A2" s="3">
        <v>46081.0</v>
      </c>
      <c r="C2" s="1" t="s">
        <v>9</v>
      </c>
    </row>
    <row r="3">
      <c r="C3" s="1" t="s">
        <v>12</v>
      </c>
    </row>
    <row r="4">
      <c r="C4" s="1" t="s">
        <v>16</v>
      </c>
    </row>
    <row r="5">
      <c r="C5" s="1" t="s">
        <v>17</v>
      </c>
    </row>
    <row r="6">
      <c r="C6" s="1" t="s">
        <v>20</v>
      </c>
    </row>
    <row r="7">
      <c r="C7" s="1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4" max="4" width="16.5"/>
  </cols>
  <sheetData>
    <row r="1">
      <c r="A1" s="1" t="s">
        <v>0</v>
      </c>
      <c r="B1" s="2" t="s">
        <v>4</v>
      </c>
      <c r="D1" s="1" t="s">
        <v>8</v>
      </c>
      <c r="E1" s="1" t="s">
        <v>14</v>
      </c>
      <c r="G1" s="1" t="s">
        <v>7</v>
      </c>
      <c r="H1" s="1" t="s">
        <v>19</v>
      </c>
    </row>
    <row r="2">
      <c r="A2" s="1" t="s">
        <v>22</v>
      </c>
      <c r="B2" s="8">
        <f>IF(Dashboard!$F$2="Todas",COUNTA(Pedidos!A2:A1000),COUNTIF(Pedidos!D2:D1000,Dashboard!$F$2))</f>
        <v>12</v>
      </c>
      <c r="D2" s="1" t="s">
        <v>26</v>
      </c>
      <c r="E2" s="5">
        <f>IF(Dashboard!$F$2="Todas",COUNTIF(Pedidos!$J$2:$J1000,D2),COUNTIFS(Pedidos!$J$2:$J1000,D2,Pedidos!$D$2:$D1000,Dashboard!$F$2))</f>
        <v>5</v>
      </c>
      <c r="G2" s="1" t="s">
        <v>12</v>
      </c>
      <c r="H2" s="5">
        <f>COUNTIFS(Pedidos!$D$2:$D1000,G2,Pedidos!$J$2:$J1000,"Pendente em atraso")</f>
        <v>1</v>
      </c>
    </row>
    <row r="3">
      <c r="A3" s="1" t="s">
        <v>28</v>
      </c>
      <c r="B3" s="8">
        <f>IF(Dashboard!$F$2="Todas",COUNTIF(Pedidos!H2:H1000,"Entregue"),COUNTIFS(Pedidos!H2:H1000,"Entregue",Pedidos!D2:D1000,Dashboard!$F$2))</f>
        <v>8</v>
      </c>
      <c r="D3" s="1" t="s">
        <v>30</v>
      </c>
      <c r="E3" s="5">
        <f>IF(Dashboard!$F$2="Todas",COUNTIF(Pedidos!$J$2:$J1000,D3),COUNTIFS(Pedidos!$J$2:$J1000,D3,Pedidos!$D$2:$D1000,Dashboard!$F$2))</f>
        <v>3</v>
      </c>
      <c r="G3" s="1" t="s">
        <v>16</v>
      </c>
      <c r="H3" s="5">
        <f>COUNTIFS(Pedidos!$D$2:$D1000,G3,Pedidos!$J$2:$J1000,"Pendente em atraso")</f>
        <v>0</v>
      </c>
    </row>
    <row r="4">
      <c r="A4" s="1" t="s">
        <v>33</v>
      </c>
      <c r="B4" s="8">
        <f>IF(Dashboard!$F$2="Todas",COUNTIF(Pedidos!J2:J1000,"Pendente em atraso"),COUNTIFS(Pedidos!J2:J1000,"Pendente em atraso",Pedidos!D2:D1000,Dashboard!$F$2))</f>
        <v>2</v>
      </c>
      <c r="D4" s="1" t="s">
        <v>37</v>
      </c>
      <c r="E4" s="5">
        <f>IF(Dashboard!$F$2="Todas",COUNTIF(Pedidos!$J$2:$J1000,D4),COUNTIFS(Pedidos!$J$2:$J1000,D4,Pedidos!$D$2:$D1000,Dashboard!$F$2))</f>
        <v>2</v>
      </c>
      <c r="G4" s="1" t="s">
        <v>17</v>
      </c>
      <c r="H4" s="5">
        <f>COUNTIFS(Pedidos!$D$2:$D1000,G4,Pedidos!$J$2:$J1000,"Pendente em atraso")</f>
        <v>1</v>
      </c>
    </row>
    <row r="5">
      <c r="A5" s="1" t="s">
        <v>50</v>
      </c>
      <c r="B5" s="8">
        <f>IF(Dashboard!$F$2="Todas",COUNTIF(Pedidos!H2:H1000,"Cancelado"),COUNTIFS(Pedidos!H2:H1000,"Cancelado",Pedidos!D2:D1000,Dashboard!$F$2))</f>
        <v>1</v>
      </c>
      <c r="D5" s="1" t="s">
        <v>79</v>
      </c>
      <c r="E5" s="5">
        <f>IF(Dashboard!$F$2="Todas",COUNTIF(Pedidos!$J$2:$J1000,D5),COUNTIFS(Pedidos!$J$2:$J1000,D5,Pedidos!$D$2:$D1000,Dashboard!$F$2))</f>
        <v>1</v>
      </c>
      <c r="G5" s="1" t="s">
        <v>20</v>
      </c>
      <c r="H5" s="5">
        <f>COUNTIFS(Pedidos!$D$2:$D1000,G5,Pedidos!$J$2:$J1000,"Pendente em atraso")</f>
        <v>0</v>
      </c>
    </row>
    <row r="6">
      <c r="A6" s="1" t="s">
        <v>85</v>
      </c>
      <c r="B6" s="15">
        <f>IF(Dashboard!$F$2="Todas",SUMIF(Pedidos!H2:H1000,"&lt;&gt;Cancelado",Pedidos!E2:E1000),SUMIFS(Pedidos!E2:E1000,Pedidos!H2:H1000,"&lt;&gt;Cancelado",Pedidos!D2:D1000,Dashboard!$F$2))</f>
        <v>8430</v>
      </c>
      <c r="D6" s="1" t="s">
        <v>84</v>
      </c>
      <c r="E6" s="5">
        <f>IF(Dashboard!$F$2="Todas",COUNTIF(Pedidos!$J$2:$J1000,D6),COUNTIFS(Pedidos!$J$2:$J1000,D6,Pedidos!$D$2:$D1000,Dashboard!$F$2))</f>
        <v>1</v>
      </c>
      <c r="G6" s="1" t="s">
        <v>21</v>
      </c>
      <c r="H6" s="5">
        <f>COUNTIFS(Pedidos!$D$2:$D1000,G6,Pedidos!$J$2:$J1000,"Pendente em atraso")</f>
        <v>0</v>
      </c>
    </row>
    <row r="7">
      <c r="A7" s="1" t="s">
        <v>86</v>
      </c>
      <c r="B7" s="16">
        <f>IFERROR(IF(Dashboard!$F$2="Todas",COUNTIF(Pedidos!J2:J1000,"Entregue no prazo"),COUNTIFS(Pedidos!J2:J1000,"Entregue no prazo",Pedidos!D2:D1000,Dashboard!$F$2))/B3,0)</f>
        <v>0.625</v>
      </c>
    </row>
    <row r="8">
      <c r="B8" s="5"/>
    </row>
    <row r="9">
      <c r="B9" s="5"/>
    </row>
    <row r="10">
      <c r="B10" s="5"/>
    </row>
    <row r="11">
      <c r="B11" s="5"/>
    </row>
    <row r="12">
      <c r="A12" s="17"/>
      <c r="B12" s="17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60.13"/>
    <col customWidth="1" min="3" max="3" width="2.38"/>
    <col customWidth="1" min="4" max="4" width="7.25"/>
    <col customWidth="1" min="5" max="5" width="14.13"/>
    <col customWidth="1" min="6" max="6" width="14.5"/>
    <col customWidth="1" min="7" max="7" width="17.0"/>
    <col customWidth="1" min="8" max="8" width="17.75"/>
    <col customWidth="1" min="10" max="10" width="4.13"/>
  </cols>
  <sheetData>
    <row r="2">
      <c r="B2" s="18" t="s">
        <v>87</v>
      </c>
      <c r="E2" s="19" t="s">
        <v>88</v>
      </c>
      <c r="F2" s="20" t="s">
        <v>9</v>
      </c>
    </row>
    <row r="3">
      <c r="B3" s="21" t="str">
        <f>"Posição em "&amp;TEXT(Listas!A2,"dd/mm/yyyy")&amp;" | Região: "&amp;F2&amp;" | Dados fictícios"</f>
        <v>Posição em 28/02/2026 | Região: Todas | Dados fictícios</v>
      </c>
    </row>
    <row r="5">
      <c r="A5" s="22"/>
      <c r="B5" s="23" t="s">
        <v>22</v>
      </c>
      <c r="C5" s="24"/>
      <c r="D5" s="25"/>
      <c r="E5" s="23" t="s">
        <v>28</v>
      </c>
      <c r="F5" s="24"/>
      <c r="G5" s="25"/>
      <c r="H5" s="26" t="s">
        <v>33</v>
      </c>
      <c r="I5" s="24"/>
      <c r="J5" s="25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27">
        <f>Analises!B2</f>
        <v>12</v>
      </c>
      <c r="C6" s="28"/>
      <c r="D6" s="29"/>
      <c r="E6" s="27">
        <f>Analises!B3</f>
        <v>8</v>
      </c>
      <c r="F6" s="28"/>
      <c r="G6" s="29"/>
      <c r="H6" s="30">
        <f>Analises!B4</f>
        <v>2</v>
      </c>
      <c r="I6" s="28"/>
      <c r="J6" s="29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3" t="s">
        <v>50</v>
      </c>
      <c r="C8" s="24"/>
      <c r="D8" s="25"/>
      <c r="E8" s="23" t="s">
        <v>52</v>
      </c>
      <c r="F8" s="24"/>
      <c r="G8" s="25"/>
      <c r="H8" s="26" t="s">
        <v>54</v>
      </c>
      <c r="I8" s="24"/>
      <c r="J8" s="25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7">
        <f>Analises!B5</f>
        <v>1</v>
      </c>
      <c r="C9" s="28"/>
      <c r="D9" s="29"/>
      <c r="E9" s="31">
        <f>Analises!B6</f>
        <v>8430</v>
      </c>
      <c r="F9" s="28"/>
      <c r="G9" s="29"/>
      <c r="H9" s="32">
        <f>Analises!B7</f>
        <v>0.625</v>
      </c>
      <c r="I9" s="28"/>
      <c r="J9" s="29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</sheetData>
  <mergeCells count="14">
    <mergeCell ref="E8:G8"/>
    <mergeCell ref="E9:G9"/>
    <mergeCell ref="H5:J5"/>
    <mergeCell ref="H6:J6"/>
    <mergeCell ref="H8:J8"/>
    <mergeCell ref="H9:J9"/>
    <mergeCell ref="B3:J3"/>
    <mergeCell ref="B5:D5"/>
    <mergeCell ref="B6:D6"/>
    <mergeCell ref="B8:D8"/>
    <mergeCell ref="B9:D9"/>
    <mergeCell ref="E5:G5"/>
    <mergeCell ref="E6:G6"/>
    <mergeCell ref="B2:D2"/>
  </mergeCells>
  <conditionalFormatting sqref="H6">
    <cfRule type="cellIs" dxfId="0" priority="1" operator="greaterThan">
      <formula>0</formula>
    </cfRule>
  </conditionalFormatting>
  <dataValidations>
    <dataValidation type="list" allowBlank="1" showErrorMessage="1" sqref="F2">
      <formula1>Listas!$C$2:$C$7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78.5"/>
  </cols>
  <sheetData>
    <row r="1">
      <c r="A1" s="10" t="s">
        <v>35</v>
      </c>
      <c r="B1" s="10" t="s">
        <v>36</v>
      </c>
    </row>
    <row r="2">
      <c r="A2" s="11" t="s">
        <v>38</v>
      </c>
      <c r="B2" s="11" t="s">
        <v>39</v>
      </c>
    </row>
    <row r="3">
      <c r="A3" s="11" t="s">
        <v>40</v>
      </c>
      <c r="B3" s="11" t="s">
        <v>41</v>
      </c>
    </row>
    <row r="4">
      <c r="A4" s="11" t="s">
        <v>42</v>
      </c>
      <c r="B4" s="11" t="s">
        <v>43</v>
      </c>
    </row>
    <row r="5">
      <c r="A5" s="11" t="s">
        <v>44</v>
      </c>
      <c r="B5" s="11" t="s">
        <v>45</v>
      </c>
    </row>
    <row r="6">
      <c r="A6" s="11" t="s">
        <v>1</v>
      </c>
      <c r="B6" s="12">
        <v>46081.0</v>
      </c>
    </row>
    <row r="7">
      <c r="A7" s="11" t="s">
        <v>22</v>
      </c>
      <c r="B7" s="11" t="s">
        <v>47</v>
      </c>
    </row>
    <row r="8">
      <c r="A8" s="11" t="s">
        <v>28</v>
      </c>
      <c r="B8" s="11" t="s">
        <v>48</v>
      </c>
    </row>
    <row r="9">
      <c r="A9" s="11" t="s">
        <v>33</v>
      </c>
      <c r="B9" s="11" t="s">
        <v>49</v>
      </c>
    </row>
    <row r="10">
      <c r="A10" s="11" t="s">
        <v>50</v>
      </c>
      <c r="B10" s="11" t="s">
        <v>51</v>
      </c>
    </row>
    <row r="11">
      <c r="A11" s="11" t="s">
        <v>52</v>
      </c>
      <c r="B11" s="11" t="s">
        <v>53</v>
      </c>
    </row>
    <row r="12">
      <c r="A12" s="11" t="s">
        <v>54</v>
      </c>
      <c r="B12" s="11" t="s">
        <v>55</v>
      </c>
    </row>
    <row r="13">
      <c r="A13" s="11" t="s">
        <v>56</v>
      </c>
      <c r="B13" s="11" t="s">
        <v>57</v>
      </c>
    </row>
    <row r="14">
      <c r="A14" s="11" t="s">
        <v>58</v>
      </c>
      <c r="B14" s="11" t="s">
        <v>59</v>
      </c>
    </row>
    <row r="15">
      <c r="A15" s="11" t="s">
        <v>60</v>
      </c>
      <c r="B15" s="11" t="s">
        <v>61</v>
      </c>
    </row>
    <row r="17">
      <c r="A17" s="13" t="s">
        <v>62</v>
      </c>
      <c r="B17" s="13" t="s">
        <v>63</v>
      </c>
    </row>
    <row r="18">
      <c r="A18" s="11" t="s">
        <v>64</v>
      </c>
      <c r="B18" s="11" t="s">
        <v>65</v>
      </c>
    </row>
    <row r="19">
      <c r="A19" s="11" t="s">
        <v>66</v>
      </c>
      <c r="B19" s="11" t="s">
        <v>67</v>
      </c>
    </row>
    <row r="20">
      <c r="A20" s="11" t="s">
        <v>69</v>
      </c>
      <c r="B20" s="11" t="s">
        <v>70</v>
      </c>
    </row>
    <row r="21">
      <c r="A21" s="11" t="s">
        <v>71</v>
      </c>
      <c r="B21" s="11" t="s">
        <v>72</v>
      </c>
    </row>
    <row r="22">
      <c r="A22" s="11" t="s">
        <v>73</v>
      </c>
      <c r="B22" s="11" t="s">
        <v>74</v>
      </c>
    </row>
    <row r="23">
      <c r="A23" s="11" t="s">
        <v>75</v>
      </c>
      <c r="B23" s="11" t="s">
        <v>76</v>
      </c>
    </row>
  </sheetData>
  <drawing r:id="rId1"/>
</worksheet>
</file>